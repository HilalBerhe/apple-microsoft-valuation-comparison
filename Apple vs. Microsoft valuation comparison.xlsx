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lal\Downloads\"/>
    </mc:Choice>
  </mc:AlternateContent>
  <xr:revisionPtr revIDLastSave="0" documentId="8_{EA8A6FCF-E089-4784-99B5-93DA4A9D6AA5}" xr6:coauthVersionLast="47" xr6:coauthVersionMax="47" xr10:uidLastSave="{00000000-0000-0000-0000-000000000000}"/>
  <bookViews>
    <workbookView xWindow="-108" yWindow="-108" windowWidth="23256" windowHeight="13896" firstSheet="1" activeTab="8" xr2:uid="{00000000-000D-0000-FFFF-FFFF00000000}"/>
  </bookViews>
  <sheets>
    <sheet name="_CIQHiddenCacheSheet" sheetId="8" state="veryHidden" r:id="rId1"/>
    <sheet name="Cover Page" sheetId="9" r:id="rId2"/>
    <sheet name="Comps Table" sheetId="1" r:id="rId3"/>
    <sheet name="Microsoft DCF Model" sheetId="10" r:id="rId4"/>
    <sheet name="Microsoft 3-Statement Model" sheetId="16" r:id="rId5"/>
    <sheet name="Apple DCF Model" sheetId="12" r:id="rId6"/>
    <sheet name="Apple 3-Statement Model" sheetId="17" r:id="rId7"/>
    <sheet name="Sensitivity Analysis Table" sheetId="13" r:id="rId8"/>
    <sheet name="Valuation Range Chart" sheetId="14" r:id="rId9"/>
  </sheets>
  <externalReferences>
    <externalReference r:id="rId10"/>
    <externalReference r:id="rId11"/>
    <externalReference r:id="rId12"/>
    <externalReference r:id="rId13"/>
  </externalReferences>
  <definedNames>
    <definedName name="_xlchart.v1.0" hidden="1">'[1]DCF Model'!$L$35:$L$37</definedName>
    <definedName name="_xlchart.v1.1" hidden="1">'[1]DCF Model'!$N$35:$N$37</definedName>
    <definedName name="_xlchart.v1.2" hidden="1">'[2]DCF Model'!$L$35:$L$37</definedName>
    <definedName name="_xlchart.v1.3" hidden="1">'[2]DCF Model'!$N$35:$N$37</definedName>
    <definedName name="CIQWBGuid" hidden="1">"2cd8126d-26c3-430c-b7fa-a069e3a1fc62"</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 hidden="1">41666.7099189815</definedName>
    <definedName name="IQ_NAMES_REVISION_DATE_" hidden="1">41743.6402893519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'Cover Page'!$A$1:$P$24</definedName>
  </definedNames>
  <calcPr calcId="191029"/>
</workbook>
</file>

<file path=xl/calcChain.xml><?xml version="1.0" encoding="utf-8"?>
<calcChain xmlns="http://schemas.openxmlformats.org/spreadsheetml/2006/main">
  <c r="C23" i="1" l="1"/>
  <c r="B19" i="13"/>
  <c r="B20" i="13" s="1"/>
  <c r="B21" i="13" s="1"/>
  <c r="B22" i="13" s="1"/>
  <c r="B9" i="13"/>
  <c r="B8" i="13"/>
  <c r="B7" i="13"/>
  <c r="B6" i="13"/>
  <c r="D3" i="13"/>
  <c r="E3" i="13" s="1"/>
  <c r="F3" i="13" s="1"/>
  <c r="G3" i="13" s="1"/>
  <c r="D23" i="1"/>
  <c r="D19" i="1"/>
  <c r="C19" i="1"/>
  <c r="J8" i="1"/>
  <c r="I8" i="1"/>
  <c r="H8" i="1" s="1"/>
  <c r="G8" i="1"/>
  <c r="J7" i="1"/>
  <c r="I7" i="1"/>
  <c r="H7" i="1"/>
  <c r="G7" i="1"/>
  <c r="D8" i="1"/>
  <c r="C8" i="1"/>
  <c r="D7" i="1"/>
  <c r="C7" i="1"/>
  <c r="H114" i="16"/>
  <c r="G114" i="16"/>
  <c r="G113" i="16"/>
  <c r="H111" i="16"/>
  <c r="G111" i="16"/>
  <c r="F111" i="16"/>
  <c r="E111" i="16"/>
  <c r="H110" i="16"/>
  <c r="G110" i="16"/>
  <c r="F110" i="16"/>
  <c r="E110" i="16"/>
  <c r="H103" i="16"/>
  <c r="G103" i="16"/>
  <c r="F103" i="16"/>
  <c r="E103" i="16"/>
  <c r="H102" i="16"/>
  <c r="G102" i="16"/>
  <c r="E102" i="16"/>
  <c r="I101" i="16"/>
  <c r="H101" i="16"/>
  <c r="G101" i="16"/>
  <c r="F101" i="16"/>
  <c r="H98" i="16"/>
  <c r="G98" i="16"/>
  <c r="F98" i="16"/>
  <c r="E98" i="16"/>
  <c r="F95" i="16" s="1"/>
  <c r="H97" i="16"/>
  <c r="G97" i="16"/>
  <c r="F97" i="16"/>
  <c r="E97" i="16"/>
  <c r="H96" i="16"/>
  <c r="F96" i="16"/>
  <c r="E96" i="16"/>
  <c r="I95" i="16"/>
  <c r="H95" i="16"/>
  <c r="G95" i="16"/>
  <c r="H90" i="16"/>
  <c r="G90" i="16"/>
  <c r="F90" i="16"/>
  <c r="E90" i="16"/>
  <c r="H89" i="16"/>
  <c r="H91" i="16" s="1"/>
  <c r="G89" i="16"/>
  <c r="G91" i="16" s="1"/>
  <c r="F89" i="16"/>
  <c r="F91" i="16" s="1"/>
  <c r="E89" i="16"/>
  <c r="E91" i="16" s="1"/>
  <c r="H88" i="16"/>
  <c r="G88" i="16"/>
  <c r="F88" i="16"/>
  <c r="E88" i="16"/>
  <c r="H81" i="16"/>
  <c r="I80" i="16" s="1"/>
  <c r="G81" i="16"/>
  <c r="H80" i="16" s="1"/>
  <c r="F81" i="16"/>
  <c r="G80" i="16" s="1"/>
  <c r="E81" i="16"/>
  <c r="F80" i="16"/>
  <c r="G77" i="16"/>
  <c r="G115" i="16" s="1"/>
  <c r="F77" i="16"/>
  <c r="F79" i="16" s="1"/>
  <c r="E77" i="16"/>
  <c r="E115" i="16" s="1"/>
  <c r="H76" i="16"/>
  <c r="H20" i="16" s="1"/>
  <c r="G76" i="16"/>
  <c r="F76" i="16"/>
  <c r="E76" i="16"/>
  <c r="H75" i="16"/>
  <c r="H19" i="16" s="1"/>
  <c r="G75" i="16"/>
  <c r="G19" i="16" s="1"/>
  <c r="F75" i="16"/>
  <c r="F102" i="16" s="1"/>
  <c r="E75" i="16"/>
  <c r="E19" i="16" s="1"/>
  <c r="M19" i="16" s="1"/>
  <c r="M102" i="16" s="1"/>
  <c r="M75" i="16" s="1"/>
  <c r="M77" i="16" s="1"/>
  <c r="H72" i="16"/>
  <c r="F72" i="16"/>
  <c r="F114" i="16" s="1"/>
  <c r="E72" i="16"/>
  <c r="E114" i="16" s="1"/>
  <c r="G71" i="16"/>
  <c r="G72" i="16" s="1"/>
  <c r="H68" i="16"/>
  <c r="H113" i="16" s="1"/>
  <c r="G67" i="16"/>
  <c r="G68" i="16" s="1"/>
  <c r="F67" i="16"/>
  <c r="F68" i="16" s="1"/>
  <c r="F113" i="16" s="1"/>
  <c r="E67" i="16"/>
  <c r="E68" i="16" s="1"/>
  <c r="E113" i="16" s="1"/>
  <c r="H57" i="16"/>
  <c r="G57" i="16"/>
  <c r="H56" i="16"/>
  <c r="G56" i="16"/>
  <c r="F56" i="16"/>
  <c r="E56" i="16"/>
  <c r="H52" i="16"/>
  <c r="G52" i="16"/>
  <c r="F52" i="16"/>
  <c r="F57" i="16" s="1"/>
  <c r="E52" i="16"/>
  <c r="E57" i="16" s="1"/>
  <c r="H47" i="16"/>
  <c r="G47" i="16"/>
  <c r="F47" i="16"/>
  <c r="E47" i="16"/>
  <c r="H37" i="16"/>
  <c r="E37" i="16"/>
  <c r="E34" i="16"/>
  <c r="H33" i="16"/>
  <c r="H34" i="16" s="1"/>
  <c r="G33" i="16"/>
  <c r="G34" i="16" s="1"/>
  <c r="G37" i="16" s="1"/>
  <c r="F33" i="16"/>
  <c r="F34" i="16" s="1"/>
  <c r="E33" i="16"/>
  <c r="J21" i="16"/>
  <c r="I21" i="16"/>
  <c r="G20" i="16"/>
  <c r="M20" i="16" s="1"/>
  <c r="M76" i="16" s="1"/>
  <c r="F20" i="16"/>
  <c r="E20" i="16"/>
  <c r="F19" i="16"/>
  <c r="H18" i="16"/>
  <c r="G18" i="16"/>
  <c r="F18" i="16"/>
  <c r="E18" i="16"/>
  <c r="M17" i="16"/>
  <c r="L17" i="16"/>
  <c r="H17" i="16"/>
  <c r="K17" i="16" s="1"/>
  <c r="G17" i="16"/>
  <c r="F17" i="16"/>
  <c r="E17" i="16"/>
  <c r="H16" i="16"/>
  <c r="G16" i="16"/>
  <c r="F16" i="16"/>
  <c r="E16" i="16"/>
  <c r="M15" i="16"/>
  <c r="L15" i="16"/>
  <c r="K15" i="16"/>
  <c r="J15" i="16"/>
  <c r="H15" i="16"/>
  <c r="G15" i="16"/>
  <c r="F15" i="16"/>
  <c r="E15" i="16"/>
  <c r="I15" i="16" s="1"/>
  <c r="H14" i="16"/>
  <c r="G14" i="16"/>
  <c r="E14" i="16"/>
  <c r="I13" i="16"/>
  <c r="J13" i="16" s="1"/>
  <c r="K13" i="16" s="1"/>
  <c r="L13" i="16" s="1"/>
  <c r="M13" i="16" s="1"/>
  <c r="H12" i="16"/>
  <c r="G12" i="16"/>
  <c r="F12" i="16"/>
  <c r="E12" i="16"/>
  <c r="J12" i="16" s="1"/>
  <c r="J11" i="16"/>
  <c r="K11" i="16" s="1"/>
  <c r="L11" i="16" s="1"/>
  <c r="M11" i="16" s="1"/>
  <c r="I11" i="16"/>
  <c r="I10" i="16"/>
  <c r="H10" i="16"/>
  <c r="G10" i="16"/>
  <c r="F10" i="16"/>
  <c r="E10" i="16"/>
  <c r="H9" i="16"/>
  <c r="L9" i="16" s="1"/>
  <c r="G9" i="16"/>
  <c r="F9" i="16"/>
  <c r="E9" i="16"/>
  <c r="I8" i="16"/>
  <c r="I26" i="16" s="1"/>
  <c r="H8" i="16"/>
  <c r="G8" i="16"/>
  <c r="F8" i="16"/>
  <c r="E2" i="16"/>
  <c r="F2" i="16" s="1"/>
  <c r="G2" i="16" s="1"/>
  <c r="H2" i="16" s="1"/>
  <c r="I2" i="16" s="1"/>
  <c r="J2" i="16" s="1"/>
  <c r="K2" i="16" s="1"/>
  <c r="L2" i="16" s="1"/>
  <c r="M2" i="16" s="1"/>
  <c r="O7" i="1" l="1"/>
  <c r="O8" i="1"/>
  <c r="I31" i="16"/>
  <c r="I88" i="16"/>
  <c r="I44" i="16"/>
  <c r="I110" i="16"/>
  <c r="K19" i="16"/>
  <c r="K102" i="16" s="1"/>
  <c r="K75" i="16" s="1"/>
  <c r="K77" i="16" s="1"/>
  <c r="I19" i="16"/>
  <c r="J19" i="16"/>
  <c r="J102" i="16" s="1"/>
  <c r="J75" i="16" s="1"/>
  <c r="J77" i="16" s="1"/>
  <c r="J14" i="16"/>
  <c r="F92" i="16"/>
  <c r="M115" i="16"/>
  <c r="F37" i="16"/>
  <c r="F14" i="16"/>
  <c r="I14" i="16" s="1"/>
  <c r="G92" i="16"/>
  <c r="H92" i="16"/>
  <c r="M8" i="16"/>
  <c r="L8" i="16"/>
  <c r="I30" i="16"/>
  <c r="I18" i="16"/>
  <c r="I71" i="16" s="1"/>
  <c r="M18" i="16"/>
  <c r="M71" i="16" s="1"/>
  <c r="L18" i="16"/>
  <c r="L71" i="16" s="1"/>
  <c r="K18" i="16"/>
  <c r="K71" i="16" s="1"/>
  <c r="J18" i="16"/>
  <c r="J71" i="16" s="1"/>
  <c r="M16" i="16"/>
  <c r="L16" i="16"/>
  <c r="K16" i="16"/>
  <c r="J8" i="16"/>
  <c r="J26" i="16" s="1"/>
  <c r="K21" i="16"/>
  <c r="K8" i="16"/>
  <c r="I16" i="16"/>
  <c r="J16" i="16"/>
  <c r="G96" i="16"/>
  <c r="M14" i="16"/>
  <c r="K14" i="16"/>
  <c r="J9" i="16"/>
  <c r="L19" i="16"/>
  <c r="L102" i="16" s="1"/>
  <c r="L75" i="16" s="1"/>
  <c r="I12" i="16"/>
  <c r="I97" i="16" s="1"/>
  <c r="I66" i="16" s="1"/>
  <c r="M9" i="16"/>
  <c r="J17" i="16"/>
  <c r="L20" i="16"/>
  <c r="L76" i="16" s="1"/>
  <c r="I20" i="16"/>
  <c r="K20" i="16"/>
  <c r="K76" i="16" s="1"/>
  <c r="J20" i="16"/>
  <c r="J76" i="16" s="1"/>
  <c r="H77" i="16"/>
  <c r="G79" i="16"/>
  <c r="F115" i="16"/>
  <c r="M12" i="16"/>
  <c r="L12" i="16"/>
  <c r="I9" i="16"/>
  <c r="I27" i="16" s="1"/>
  <c r="L14" i="16"/>
  <c r="K9" i="16"/>
  <c r="E79" i="16"/>
  <c r="I17" i="16"/>
  <c r="M10" i="16"/>
  <c r="L10" i="16"/>
  <c r="K10" i="16"/>
  <c r="J10" i="16"/>
  <c r="K12" i="16"/>
  <c r="I50" i="16" l="1"/>
  <c r="I89" i="16"/>
  <c r="I90" i="16"/>
  <c r="I45" i="16"/>
  <c r="I28" i="16"/>
  <c r="J88" i="16"/>
  <c r="J27" i="16"/>
  <c r="J31" i="16"/>
  <c r="J44" i="16"/>
  <c r="K26" i="16"/>
  <c r="J28" i="16"/>
  <c r="J110" i="16"/>
  <c r="I51" i="16"/>
  <c r="J51" i="16" s="1"/>
  <c r="K51" i="16" s="1"/>
  <c r="L51" i="16" s="1"/>
  <c r="M51" i="16" s="1"/>
  <c r="I102" i="16"/>
  <c r="M72" i="16"/>
  <c r="M96" i="16"/>
  <c r="I96" i="16"/>
  <c r="I98" i="16" s="1"/>
  <c r="I72" i="16"/>
  <c r="I114" i="16" s="1"/>
  <c r="I33" i="16"/>
  <c r="J30" i="16"/>
  <c r="H115" i="16"/>
  <c r="H79" i="16"/>
  <c r="L77" i="16"/>
  <c r="J96" i="16"/>
  <c r="J72" i="16"/>
  <c r="J114" i="16" s="1"/>
  <c r="K96" i="16"/>
  <c r="K72" i="16"/>
  <c r="K114" i="16" s="1"/>
  <c r="K115" i="16"/>
  <c r="L21" i="16"/>
  <c r="M21" i="16" s="1"/>
  <c r="I91" i="16"/>
  <c r="I92" i="16" s="1"/>
  <c r="I67" i="16" s="1"/>
  <c r="J115" i="16"/>
  <c r="L96" i="16"/>
  <c r="L72" i="16"/>
  <c r="L114" i="16" s="1"/>
  <c r="I54" i="16"/>
  <c r="I76" i="16"/>
  <c r="K31" i="16" l="1"/>
  <c r="K27" i="16"/>
  <c r="L26" i="16"/>
  <c r="K28" i="16"/>
  <c r="K110" i="16"/>
  <c r="K88" i="16"/>
  <c r="K44" i="16"/>
  <c r="I34" i="16"/>
  <c r="I111" i="16"/>
  <c r="M114" i="16"/>
  <c r="I75" i="16"/>
  <c r="I77" i="16" s="1"/>
  <c r="I103" i="16"/>
  <c r="J101" i="16" s="1"/>
  <c r="J103" i="16" s="1"/>
  <c r="K101" i="16" s="1"/>
  <c r="K103" i="16" s="1"/>
  <c r="L101" i="16" s="1"/>
  <c r="L103" i="16" s="1"/>
  <c r="M101" i="16" s="1"/>
  <c r="M103" i="16" s="1"/>
  <c r="J34" i="16"/>
  <c r="J111" i="16"/>
  <c r="L115" i="16"/>
  <c r="J45" i="16"/>
  <c r="J50" i="16"/>
  <c r="J52" i="16" s="1"/>
  <c r="J89" i="16"/>
  <c r="J90" i="16"/>
  <c r="J91" i="16"/>
  <c r="J92" i="16" s="1"/>
  <c r="J67" i="16" s="1"/>
  <c r="J54" i="16"/>
  <c r="J33" i="16"/>
  <c r="K30" i="16"/>
  <c r="J95" i="16"/>
  <c r="I46" i="16"/>
  <c r="I52" i="16"/>
  <c r="J37" i="16" l="1"/>
  <c r="J65" i="16" s="1"/>
  <c r="J36" i="16"/>
  <c r="J97" i="16"/>
  <c r="J66" i="16" s="1"/>
  <c r="J98" i="16"/>
  <c r="I36" i="16"/>
  <c r="I37" i="16" s="1"/>
  <c r="K111" i="16"/>
  <c r="L110" i="16"/>
  <c r="M26" i="16"/>
  <c r="L27" i="16"/>
  <c r="L31" i="16"/>
  <c r="L28" i="16"/>
  <c r="L88" i="16"/>
  <c r="L44" i="16"/>
  <c r="K50" i="16"/>
  <c r="K52" i="16" s="1"/>
  <c r="K45" i="16"/>
  <c r="K89" i="16"/>
  <c r="K90" i="16"/>
  <c r="I115" i="16"/>
  <c r="K33" i="16"/>
  <c r="K34" i="16" s="1"/>
  <c r="L30" i="16"/>
  <c r="K54" i="16"/>
  <c r="K91" i="16"/>
  <c r="K92" i="16" s="1"/>
  <c r="K67" i="16" s="1"/>
  <c r="I65" i="16" l="1"/>
  <c r="I68" i="16" s="1"/>
  <c r="I55" i="16"/>
  <c r="K36" i="16"/>
  <c r="K37" i="16" s="1"/>
  <c r="K65" i="16" s="1"/>
  <c r="L54" i="16"/>
  <c r="L34" i="16"/>
  <c r="L111" i="16"/>
  <c r="L50" i="16"/>
  <c r="L52" i="16" s="1"/>
  <c r="L89" i="16"/>
  <c r="L91" i="16" s="1"/>
  <c r="L92" i="16" s="1"/>
  <c r="L67" i="16" s="1"/>
  <c r="L45" i="16"/>
  <c r="L90" i="16"/>
  <c r="M27" i="16"/>
  <c r="M110" i="16"/>
  <c r="M31" i="16"/>
  <c r="M88" i="16"/>
  <c r="M44" i="16"/>
  <c r="L33" i="16"/>
  <c r="M30" i="16"/>
  <c r="J46" i="16"/>
  <c r="K95" i="16"/>
  <c r="J68" i="16"/>
  <c r="J113" i="16" l="1"/>
  <c r="J79" i="16"/>
  <c r="M54" i="16"/>
  <c r="M45" i="16"/>
  <c r="M89" i="16"/>
  <c r="M50" i="16"/>
  <c r="M52" i="16" s="1"/>
  <c r="M90" i="16"/>
  <c r="L36" i="16"/>
  <c r="L37" i="16" s="1"/>
  <c r="L65" i="16" s="1"/>
  <c r="K97" i="16"/>
  <c r="K66" i="16" s="1"/>
  <c r="K68" i="16" s="1"/>
  <c r="K98" i="16"/>
  <c r="M33" i="16"/>
  <c r="M91" i="16"/>
  <c r="M92" i="16" s="1"/>
  <c r="M67" i="16" s="1"/>
  <c r="J55" i="16"/>
  <c r="I56" i="16"/>
  <c r="I57" i="16" s="1"/>
  <c r="M28" i="16"/>
  <c r="I113" i="16"/>
  <c r="I79" i="16"/>
  <c r="I81" i="16" s="1"/>
  <c r="K113" i="16" l="1"/>
  <c r="K79" i="16"/>
  <c r="I43" i="16"/>
  <c r="I47" i="16" s="1"/>
  <c r="J80" i="16"/>
  <c r="M111" i="16"/>
  <c r="M34" i="16"/>
  <c r="J81" i="16"/>
  <c r="L95" i="16"/>
  <c r="K46" i="16"/>
  <c r="K55" i="16"/>
  <c r="J56" i="16"/>
  <c r="J57" i="16" s="1"/>
  <c r="L97" i="16" l="1"/>
  <c r="L66" i="16" s="1"/>
  <c r="L68" i="16" s="1"/>
  <c r="K80" i="16"/>
  <c r="J43" i="16"/>
  <c r="J47" i="16" s="1"/>
  <c r="K81" i="16"/>
  <c r="L55" i="16"/>
  <c r="K56" i="16"/>
  <c r="K57" i="16" s="1"/>
  <c r="M36" i="16"/>
  <c r="M37" i="16" s="1"/>
  <c r="M65" i="16" s="1"/>
  <c r="M55" i="16" l="1"/>
  <c r="M56" i="16" s="1"/>
  <c r="M57" i="16" s="1"/>
  <c r="L56" i="16"/>
  <c r="L57" i="16" s="1"/>
  <c r="L80" i="16"/>
  <c r="K43" i="16"/>
  <c r="K47" i="16" s="1"/>
  <c r="L98" i="16"/>
  <c r="L113" i="16"/>
  <c r="L79" i="16"/>
  <c r="L81" i="16" s="1"/>
  <c r="L43" i="16" l="1"/>
  <c r="M80" i="16"/>
  <c r="M95" i="16"/>
  <c r="L46" i="16"/>
  <c r="H115" i="17"/>
  <c r="G115" i="17"/>
  <c r="F115" i="17"/>
  <c r="E115" i="17"/>
  <c r="D115" i="17"/>
  <c r="I114" i="17"/>
  <c r="H114" i="17"/>
  <c r="H113" i="17"/>
  <c r="G113" i="17"/>
  <c r="F113" i="17"/>
  <c r="E113" i="17"/>
  <c r="E111" i="17"/>
  <c r="D111" i="17"/>
  <c r="H110" i="17"/>
  <c r="H111" i="17" s="1"/>
  <c r="G110" i="17"/>
  <c r="G111" i="17" s="1"/>
  <c r="F110" i="17"/>
  <c r="F111" i="17" s="1"/>
  <c r="E110" i="17"/>
  <c r="D110" i="17"/>
  <c r="E103" i="17"/>
  <c r="H101" i="17"/>
  <c r="H103" i="17" s="1"/>
  <c r="I101" i="17" s="1"/>
  <c r="G101" i="17"/>
  <c r="G103" i="17" s="1"/>
  <c r="F101" i="17"/>
  <c r="E101" i="17"/>
  <c r="H98" i="17"/>
  <c r="G98" i="17"/>
  <c r="G96" i="17" s="1"/>
  <c r="F98" i="17"/>
  <c r="F96" i="17" s="1"/>
  <c r="E98" i="17"/>
  <c r="E96" i="17" s="1"/>
  <c r="D98" i="17"/>
  <c r="M96" i="17"/>
  <c r="L96" i="17"/>
  <c r="K96" i="17"/>
  <c r="J96" i="17"/>
  <c r="I96" i="17"/>
  <c r="I95" i="17"/>
  <c r="I98" i="17" s="1"/>
  <c r="J95" i="17" s="1"/>
  <c r="H95" i="17"/>
  <c r="G95" i="17"/>
  <c r="F95" i="17"/>
  <c r="E95" i="17"/>
  <c r="H91" i="17"/>
  <c r="H92" i="17" s="1"/>
  <c r="H90" i="17"/>
  <c r="G90" i="17"/>
  <c r="F90" i="17"/>
  <c r="E90" i="17"/>
  <c r="D90" i="17"/>
  <c r="H89" i="17"/>
  <c r="G89" i="17"/>
  <c r="F89" i="17"/>
  <c r="E89" i="17"/>
  <c r="D89" i="17"/>
  <c r="D91" i="17" s="1"/>
  <c r="D92" i="17" s="1"/>
  <c r="H88" i="17"/>
  <c r="G88" i="17"/>
  <c r="G91" i="17" s="1"/>
  <c r="F88" i="17"/>
  <c r="E88" i="17"/>
  <c r="D88" i="17"/>
  <c r="I80" i="17"/>
  <c r="H80" i="17"/>
  <c r="G80" i="17"/>
  <c r="F80" i="17"/>
  <c r="E80" i="17"/>
  <c r="H79" i="17"/>
  <c r="H81" i="17" s="1"/>
  <c r="G79" i="17"/>
  <c r="G81" i="17" s="1"/>
  <c r="F79" i="17"/>
  <c r="F81" i="17" s="1"/>
  <c r="H77" i="17"/>
  <c r="G77" i="17"/>
  <c r="E77" i="17"/>
  <c r="D77" i="17"/>
  <c r="I72" i="17"/>
  <c r="H72" i="17"/>
  <c r="G72" i="17"/>
  <c r="G114" i="17" s="1"/>
  <c r="F72" i="17"/>
  <c r="F114" i="17" s="1"/>
  <c r="E72" i="17"/>
  <c r="D72" i="17"/>
  <c r="M71" i="17"/>
  <c r="M72" i="17" s="1"/>
  <c r="M114" i="17" s="1"/>
  <c r="L71" i="17"/>
  <c r="L72" i="17" s="1"/>
  <c r="L114" i="17" s="1"/>
  <c r="K71" i="17"/>
  <c r="K72" i="17" s="1"/>
  <c r="K114" i="17" s="1"/>
  <c r="J71" i="17"/>
  <c r="J72" i="17" s="1"/>
  <c r="J114" i="17" s="1"/>
  <c r="I71" i="17"/>
  <c r="H68" i="17"/>
  <c r="G68" i="17"/>
  <c r="F68" i="17"/>
  <c r="E68" i="17"/>
  <c r="D68" i="17"/>
  <c r="D113" i="17" s="1"/>
  <c r="H67" i="17"/>
  <c r="G67" i="17"/>
  <c r="F67" i="17"/>
  <c r="E67" i="17"/>
  <c r="D67" i="17"/>
  <c r="E57" i="17"/>
  <c r="D57" i="17"/>
  <c r="H56" i="17"/>
  <c r="H57" i="17" s="1"/>
  <c r="G56" i="17"/>
  <c r="G57" i="17" s="1"/>
  <c r="F56" i="17"/>
  <c r="E56" i="17"/>
  <c r="D56" i="17"/>
  <c r="H52" i="17"/>
  <c r="G52" i="17"/>
  <c r="F52" i="17"/>
  <c r="F57" i="17" s="1"/>
  <c r="E52" i="17"/>
  <c r="D52" i="17"/>
  <c r="H47" i="17"/>
  <c r="G47" i="17"/>
  <c r="F47" i="17"/>
  <c r="E47" i="17"/>
  <c r="D47" i="17"/>
  <c r="I46" i="17"/>
  <c r="F33" i="17"/>
  <c r="E33" i="17"/>
  <c r="D33" i="17"/>
  <c r="H20" i="17"/>
  <c r="J20" i="17" s="1"/>
  <c r="J76" i="17" s="1"/>
  <c r="G20" i="17"/>
  <c r="F20" i="17"/>
  <c r="E20" i="17"/>
  <c r="D20" i="17"/>
  <c r="H19" i="17"/>
  <c r="H102" i="17" s="1"/>
  <c r="G19" i="17"/>
  <c r="G102" i="17" s="1"/>
  <c r="F19" i="17"/>
  <c r="F102" i="17" s="1"/>
  <c r="F103" i="17" s="1"/>
  <c r="E19" i="17"/>
  <c r="E102" i="17" s="1"/>
  <c r="D19" i="17"/>
  <c r="L19" i="17" s="1"/>
  <c r="H18" i="17"/>
  <c r="G18" i="17"/>
  <c r="F18" i="17"/>
  <c r="E18" i="17"/>
  <c r="D18" i="17"/>
  <c r="H17" i="17"/>
  <c r="G17" i="17"/>
  <c r="F17" i="17"/>
  <c r="E17" i="17"/>
  <c r="D17" i="17"/>
  <c r="M16" i="17"/>
  <c r="L16" i="17"/>
  <c r="K16" i="17"/>
  <c r="H16" i="17"/>
  <c r="G16" i="17"/>
  <c r="F16" i="17"/>
  <c r="E16" i="17"/>
  <c r="D16" i="17"/>
  <c r="J16" i="17" s="1"/>
  <c r="H15" i="17"/>
  <c r="G15" i="17"/>
  <c r="F15" i="17"/>
  <c r="J15" i="17" s="1"/>
  <c r="E15" i="17"/>
  <c r="D15" i="17"/>
  <c r="H14" i="17"/>
  <c r="G14" i="17"/>
  <c r="F14" i="17"/>
  <c r="E14" i="17"/>
  <c r="D14" i="17"/>
  <c r="D13" i="17"/>
  <c r="M12" i="17"/>
  <c r="L12" i="17"/>
  <c r="K12" i="17"/>
  <c r="J12" i="17"/>
  <c r="J66" i="17" s="1"/>
  <c r="J97" i="17" s="1"/>
  <c r="H12" i="17"/>
  <c r="G12" i="17"/>
  <c r="F12" i="17"/>
  <c r="E12" i="17"/>
  <c r="D12" i="17"/>
  <c r="I12" i="17" s="1"/>
  <c r="I66" i="17" s="1"/>
  <c r="I97" i="17" s="1"/>
  <c r="H9" i="17"/>
  <c r="I9" i="17" s="1"/>
  <c r="G9" i="17"/>
  <c r="F9" i="17"/>
  <c r="E9" i="17"/>
  <c r="D9" i="17"/>
  <c r="H8" i="17"/>
  <c r="G8" i="17"/>
  <c r="F8" i="17"/>
  <c r="E8" i="17"/>
  <c r="M8" i="17" s="1"/>
  <c r="H2" i="17"/>
  <c r="I2" i="17" s="1"/>
  <c r="J2" i="17" s="1"/>
  <c r="K2" i="17" s="1"/>
  <c r="L2" i="17" s="1"/>
  <c r="M2" i="17" s="1"/>
  <c r="E2" i="17"/>
  <c r="F2" i="17" s="1"/>
  <c r="G2" i="17" s="1"/>
  <c r="M97" i="16" l="1"/>
  <c r="M66" i="16" s="1"/>
  <c r="M68" i="16" s="1"/>
  <c r="L47" i="16"/>
  <c r="J98" i="17"/>
  <c r="K95" i="17" s="1"/>
  <c r="J17" i="17"/>
  <c r="K17" i="17"/>
  <c r="M17" i="17"/>
  <c r="L17" i="17"/>
  <c r="I17" i="17"/>
  <c r="M15" i="17"/>
  <c r="K15" i="17"/>
  <c r="L15" i="17"/>
  <c r="I20" i="17"/>
  <c r="I76" i="17" s="1"/>
  <c r="K20" i="17"/>
  <c r="K76" i="17" s="1"/>
  <c r="I15" i="17"/>
  <c r="M20" i="17"/>
  <c r="M76" i="17" s="1"/>
  <c r="E91" i="17"/>
  <c r="E92" i="17" s="1"/>
  <c r="G92" i="17"/>
  <c r="K14" i="17"/>
  <c r="M14" i="17"/>
  <c r="L14" i="17"/>
  <c r="J14" i="17"/>
  <c r="I14" i="17"/>
  <c r="D114" i="17"/>
  <c r="D79" i="17"/>
  <c r="D81" i="17" s="1"/>
  <c r="F91" i="17"/>
  <c r="L102" i="17"/>
  <c r="L75" i="17"/>
  <c r="E114" i="17"/>
  <c r="E79" i="17"/>
  <c r="E81" i="17" s="1"/>
  <c r="L20" i="17"/>
  <c r="L76" i="17" s="1"/>
  <c r="J46" i="17"/>
  <c r="K46" i="17" s="1"/>
  <c r="L46" i="17" s="1"/>
  <c r="M46" i="17" s="1"/>
  <c r="J9" i="17"/>
  <c r="M9" i="17"/>
  <c r="L9" i="17"/>
  <c r="K9" i="17"/>
  <c r="H96" i="17"/>
  <c r="I19" i="17"/>
  <c r="J19" i="17"/>
  <c r="K19" i="17"/>
  <c r="D102" i="17"/>
  <c r="D103" i="17" s="1"/>
  <c r="I8" i="17"/>
  <c r="I26" i="17" s="1"/>
  <c r="J8" i="17"/>
  <c r="M19" i="17"/>
  <c r="K8" i="17"/>
  <c r="L8" i="17"/>
  <c r="I16" i="17"/>
  <c r="M98" i="16" l="1"/>
  <c r="M46" i="16" s="1"/>
  <c r="M113" i="16"/>
  <c r="M79" i="16"/>
  <c r="M81" i="16" s="1"/>
  <c r="M43" i="16" s="1"/>
  <c r="M47" i="16" s="1"/>
  <c r="M75" i="17"/>
  <c r="M77" i="17" s="1"/>
  <c r="M115" i="17" s="1"/>
  <c r="M102" i="17"/>
  <c r="I44" i="17"/>
  <c r="I31" i="17"/>
  <c r="J26" i="17"/>
  <c r="I27" i="17"/>
  <c r="I110" i="17"/>
  <c r="I30" i="17"/>
  <c r="I33" i="17" s="1"/>
  <c r="I28" i="17"/>
  <c r="L66" i="17"/>
  <c r="L97" i="17" s="1"/>
  <c r="F92" i="17"/>
  <c r="K66" i="17"/>
  <c r="K97" i="17" s="1"/>
  <c r="K98" i="17" s="1"/>
  <c r="L95" i="17" s="1"/>
  <c r="L98" i="17" s="1"/>
  <c r="M95" i="17" s="1"/>
  <c r="M98" i="17" s="1"/>
  <c r="M66" i="17"/>
  <c r="M97" i="17" s="1"/>
  <c r="L77" i="17"/>
  <c r="L115" i="17" s="1"/>
  <c r="K102" i="17"/>
  <c r="K75" i="17"/>
  <c r="K77" i="17" s="1"/>
  <c r="K115" i="17" s="1"/>
  <c r="J75" i="17"/>
  <c r="J77" i="17" s="1"/>
  <c r="J115" i="17" s="1"/>
  <c r="J102" i="17"/>
  <c r="I102" i="17"/>
  <c r="I103" i="17" s="1"/>
  <c r="J101" i="17" s="1"/>
  <c r="J103" i="17" s="1"/>
  <c r="K101" i="17" s="1"/>
  <c r="I75" i="17"/>
  <c r="I77" i="17" s="1"/>
  <c r="I115" i="17" s="1"/>
  <c r="I51" i="17"/>
  <c r="J51" i="17" s="1"/>
  <c r="K51" i="17" s="1"/>
  <c r="L51" i="17" s="1"/>
  <c r="M51" i="17" s="1"/>
  <c r="I111" i="17" l="1"/>
  <c r="I34" i="17"/>
  <c r="I45" i="17"/>
  <c r="I89" i="17" s="1"/>
  <c r="I50" i="17"/>
  <c r="K26" i="17"/>
  <c r="J27" i="17"/>
  <c r="J31" i="17"/>
  <c r="J44" i="17"/>
  <c r="J30" i="17"/>
  <c r="J33" i="17" s="1"/>
  <c r="J110" i="17"/>
  <c r="J28" i="17"/>
  <c r="K103" i="17"/>
  <c r="L101" i="17" s="1"/>
  <c r="L103" i="17" s="1"/>
  <c r="M101" i="17" s="1"/>
  <c r="M103" i="17" s="1"/>
  <c r="I67" i="17"/>
  <c r="I88" i="17"/>
  <c r="J111" i="17" l="1"/>
  <c r="J34" i="17"/>
  <c r="J88" i="17"/>
  <c r="J45" i="17"/>
  <c r="J89" i="17" s="1"/>
  <c r="J50" i="17"/>
  <c r="K30" i="17"/>
  <c r="K44" i="17"/>
  <c r="K27" i="17"/>
  <c r="L26" i="17"/>
  <c r="K31" i="17"/>
  <c r="K110" i="17"/>
  <c r="K28" i="17"/>
  <c r="I90" i="17"/>
  <c r="I91" i="17" s="1"/>
  <c r="I92" i="17" s="1"/>
  <c r="I52" i="17"/>
  <c r="I36" i="17"/>
  <c r="I37" i="17"/>
  <c r="K111" i="17" l="1"/>
  <c r="L44" i="17"/>
  <c r="L27" i="17"/>
  <c r="L31" i="17"/>
  <c r="L30" i="17"/>
  <c r="L33" i="17" s="1"/>
  <c r="M26" i="17"/>
  <c r="L110" i="17"/>
  <c r="L28" i="17"/>
  <c r="K67" i="17"/>
  <c r="K88" i="17"/>
  <c r="J90" i="17"/>
  <c r="J52" i="17"/>
  <c r="J91" i="17"/>
  <c r="J92" i="17" s="1"/>
  <c r="J67" i="17"/>
  <c r="J36" i="17"/>
  <c r="J37" i="17"/>
  <c r="J65" i="17" s="1"/>
  <c r="J68" i="17" s="1"/>
  <c r="I55" i="17"/>
  <c r="I65" i="17"/>
  <c r="I68" i="17" s="1"/>
  <c r="K50" i="17"/>
  <c r="K45" i="17"/>
  <c r="K89" i="17" s="1"/>
  <c r="K33" i="17"/>
  <c r="K34" i="17" s="1"/>
  <c r="K36" i="17" l="1"/>
  <c r="K37" i="17" s="1"/>
  <c r="K65" i="17" s="1"/>
  <c r="K68" i="17" s="1"/>
  <c r="J113" i="17"/>
  <c r="J79" i="17"/>
  <c r="L34" i="17"/>
  <c r="L111" i="17"/>
  <c r="M44" i="17"/>
  <c r="M27" i="17"/>
  <c r="M31" i="17"/>
  <c r="M30" i="17"/>
  <c r="M33" i="17" s="1"/>
  <c r="M110" i="17"/>
  <c r="M28" i="17"/>
  <c r="K90" i="17"/>
  <c r="K91" i="17" s="1"/>
  <c r="K92" i="17" s="1"/>
  <c r="K52" i="17"/>
  <c r="L50" i="17"/>
  <c r="L45" i="17"/>
  <c r="L89" i="17" s="1"/>
  <c r="I113" i="17"/>
  <c r="I79" i="17"/>
  <c r="I81" i="17" s="1"/>
  <c r="L88" i="17"/>
  <c r="J55" i="17"/>
  <c r="I56" i="17"/>
  <c r="I57" i="17" s="1"/>
  <c r="I43" i="17" s="1"/>
  <c r="I36" i="12"/>
  <c r="N35" i="12"/>
  <c r="I32" i="12"/>
  <c r="I31" i="12"/>
  <c r="I24" i="12"/>
  <c r="H24" i="12"/>
  <c r="G24" i="12"/>
  <c r="F24" i="12"/>
  <c r="E24" i="12"/>
  <c r="I23" i="12"/>
  <c r="H23" i="12"/>
  <c r="G23" i="12"/>
  <c r="F23" i="12"/>
  <c r="E23" i="12"/>
  <c r="I22" i="12"/>
  <c r="H22" i="12"/>
  <c r="G22" i="12"/>
  <c r="F22" i="12"/>
  <c r="E22" i="12"/>
  <c r="I21" i="12"/>
  <c r="H21" i="12"/>
  <c r="G21" i="12"/>
  <c r="F21" i="12"/>
  <c r="E21" i="12"/>
  <c r="I20" i="12"/>
  <c r="H20" i="12"/>
  <c r="G20" i="12"/>
  <c r="F20" i="12"/>
  <c r="E20" i="12"/>
  <c r="E19" i="12"/>
  <c r="F19" i="12" s="1"/>
  <c r="G19" i="12" s="1"/>
  <c r="H19" i="12" s="1"/>
  <c r="E18" i="12"/>
  <c r="F18" i="12" s="1"/>
  <c r="G18" i="12" s="1"/>
  <c r="H18" i="12" s="1"/>
  <c r="I18" i="12" s="1"/>
  <c r="D16" i="12"/>
  <c r="D15" i="12"/>
  <c r="I33" i="12" s="1"/>
  <c r="D14" i="12"/>
  <c r="D33" i="12" s="1"/>
  <c r="D6" i="12"/>
  <c r="H25" i="12" l="1"/>
  <c r="H27" i="12" s="1"/>
  <c r="G25" i="12"/>
  <c r="G27" i="12" s="1"/>
  <c r="I25" i="12"/>
  <c r="I27" i="12" s="1"/>
  <c r="I34" i="12"/>
  <c r="F25" i="12"/>
  <c r="F27" i="12" s="1"/>
  <c r="E25" i="12"/>
  <c r="D32" i="12"/>
  <c r="N22" i="12"/>
  <c r="K113" i="17"/>
  <c r="K79" i="17"/>
  <c r="M34" i="17"/>
  <c r="M111" i="17"/>
  <c r="I47" i="17"/>
  <c r="J80" i="17"/>
  <c r="K55" i="17"/>
  <c r="J56" i="17"/>
  <c r="J57" i="17" s="1"/>
  <c r="J43" i="17" s="1"/>
  <c r="L67" i="17"/>
  <c r="J81" i="17"/>
  <c r="M88" i="17"/>
  <c r="L90" i="17"/>
  <c r="L91" i="17" s="1"/>
  <c r="L92" i="17" s="1"/>
  <c r="L52" i="17"/>
  <c r="M50" i="17"/>
  <c r="M45" i="17"/>
  <c r="M89" i="17" s="1"/>
  <c r="L36" i="17"/>
  <c r="L37" i="17"/>
  <c r="L65" i="17" s="1"/>
  <c r="I19" i="12"/>
  <c r="J19" i="12"/>
  <c r="E27" i="12"/>
  <c r="N20" i="12" l="1"/>
  <c r="N21" i="12" s="1"/>
  <c r="C24" i="1" s="1"/>
  <c r="D26" i="12"/>
  <c r="D27" i="12" s="1"/>
  <c r="E7" i="1"/>
  <c r="K80" i="17"/>
  <c r="K81" i="17" s="1"/>
  <c r="J47" i="17"/>
  <c r="M52" i="17"/>
  <c r="M90" i="17"/>
  <c r="M67" i="17"/>
  <c r="M91" i="17"/>
  <c r="M92" i="17" s="1"/>
  <c r="L55" i="17"/>
  <c r="K56" i="17"/>
  <c r="K57" i="17" s="1"/>
  <c r="K43" i="17" s="1"/>
  <c r="L68" i="17"/>
  <c r="M36" i="17"/>
  <c r="M37" i="17" s="1"/>
  <c r="M65" i="17" s="1"/>
  <c r="M68" i="17" s="1"/>
  <c r="J26" i="12" l="1"/>
  <c r="J27" i="12" s="1"/>
  <c r="N32" i="12" s="1"/>
  <c r="M7" i="1"/>
  <c r="N7" i="1"/>
  <c r="L7" i="1"/>
  <c r="M113" i="17"/>
  <c r="M79" i="17"/>
  <c r="L80" i="17"/>
  <c r="K47" i="17"/>
  <c r="M55" i="17"/>
  <c r="M56" i="17" s="1"/>
  <c r="M57" i="17" s="1"/>
  <c r="M43" i="17" s="1"/>
  <c r="M47" i="17" s="1"/>
  <c r="L56" i="17"/>
  <c r="L57" i="17" s="1"/>
  <c r="L43" i="17" s="1"/>
  <c r="L79" i="17"/>
  <c r="L113" i="17"/>
  <c r="D31" i="12" l="1"/>
  <c r="C26" i="1" s="1"/>
  <c r="D34" i="12"/>
  <c r="C25" i="1" s="1"/>
  <c r="L81" i="17"/>
  <c r="L47" i="17"/>
  <c r="M80" i="17"/>
  <c r="M81" i="17" s="1"/>
  <c r="I36" i="10"/>
  <c r="N35" i="10"/>
  <c r="I31" i="10"/>
  <c r="I24" i="10"/>
  <c r="H24" i="10"/>
  <c r="G24" i="10"/>
  <c r="F24" i="10"/>
  <c r="E24" i="10"/>
  <c r="I23" i="10"/>
  <c r="H23" i="10"/>
  <c r="G23" i="10"/>
  <c r="F23" i="10"/>
  <c r="E23" i="10"/>
  <c r="I22" i="10"/>
  <c r="H22" i="10"/>
  <c r="G22" i="10"/>
  <c r="F22" i="10"/>
  <c r="E22" i="10"/>
  <c r="I20" i="10"/>
  <c r="H20" i="10"/>
  <c r="G20" i="10"/>
  <c r="F20" i="10"/>
  <c r="E20" i="10"/>
  <c r="E19" i="10"/>
  <c r="F19" i="10" s="1"/>
  <c r="G19" i="10" s="1"/>
  <c r="H19" i="10" s="1"/>
  <c r="I19" i="10" s="1"/>
  <c r="J19" i="10" s="1"/>
  <c r="E18" i="10"/>
  <c r="F18" i="10" s="1"/>
  <c r="G18" i="10" s="1"/>
  <c r="H18" i="10" s="1"/>
  <c r="I18" i="10" s="1"/>
  <c r="D16" i="10"/>
  <c r="D15" i="10"/>
  <c r="I33" i="10" s="1"/>
  <c r="D14" i="10"/>
  <c r="D33" i="10" s="1"/>
  <c r="D6" i="10"/>
  <c r="D36" i="12" l="1"/>
  <c r="E21" i="10"/>
  <c r="F21" i="10"/>
  <c r="F25" i="10" s="1"/>
  <c r="F27" i="10" s="1"/>
  <c r="G21" i="10"/>
  <c r="H21" i="10"/>
  <c r="H25" i="10" s="1"/>
  <c r="H27" i="10" s="1"/>
  <c r="I21" i="10"/>
  <c r="G25" i="10"/>
  <c r="G27" i="10" s="1"/>
  <c r="I32" i="10"/>
  <c r="N22" i="10"/>
  <c r="D32" i="10"/>
  <c r="E25" i="10"/>
  <c r="I34" i="10"/>
  <c r="E27" i="10"/>
  <c r="I25" i="10"/>
  <c r="B3" i="13" l="1"/>
  <c r="C20" i="1"/>
  <c r="D26" i="10"/>
  <c r="D27" i="10" s="1"/>
  <c r="E8" i="1"/>
  <c r="N37" i="12"/>
  <c r="I27" i="10"/>
  <c r="N20" i="10"/>
  <c r="N21" i="10" s="1"/>
  <c r="M8" i="1" l="1"/>
  <c r="L8" i="1"/>
  <c r="N8" i="1"/>
  <c r="J26" i="10"/>
  <c r="D31" i="10" s="1"/>
  <c r="D24" i="1"/>
  <c r="N36" i="12"/>
  <c r="C21" i="1" s="1"/>
  <c r="N31" i="12"/>
  <c r="D34" i="10" l="1"/>
  <c r="D26" i="1"/>
  <c r="J27" i="10"/>
  <c r="N32" i="10" s="1"/>
  <c r="D36" i="10" l="1"/>
  <c r="B16" i="13" s="1"/>
  <c r="D25" i="1"/>
  <c r="N37" i="10" l="1"/>
  <c r="D20" i="1"/>
  <c r="N31" i="10" l="1"/>
  <c r="N36" i="10"/>
  <c r="D21" i="1" s="1"/>
  <c r="D8"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2" authorId="0" shapeId="0" xr:uid="{20521315-DB85-48AE-8A72-07F84ED77A28}">
      <text>
        <r>
          <rPr>
            <sz val="11"/>
            <color theme="1"/>
            <rFont val="Calibri"/>
            <family val="2"/>
            <scheme val="minor"/>
          </rPr>
          <t xml:space="preserve">
% of opening PP&amp;E</t>
        </r>
      </text>
    </comment>
    <comment ref="J12" authorId="0" shapeId="0" xr:uid="{3BB9560A-EB5C-44E5-8384-4249757D29BB}">
      <text>
        <r>
          <rPr>
            <sz val="11"/>
            <color theme="1"/>
            <rFont val="Calibri"/>
            <family val="2"/>
            <scheme val="minor"/>
          </rPr>
          <t xml:space="preserve">
% of opening PP&amp;E</t>
        </r>
      </text>
    </comment>
    <comment ref="K12" authorId="0" shapeId="0" xr:uid="{3C4483DE-B297-4597-9120-EBB258A0C618}">
      <text>
        <r>
          <rPr>
            <sz val="11"/>
            <color theme="1"/>
            <rFont val="Calibri"/>
            <family val="2"/>
            <scheme val="minor"/>
          </rPr>
          <t xml:space="preserve">
% of opening PP&amp;E</t>
        </r>
      </text>
    </comment>
    <comment ref="L12" authorId="0" shapeId="0" xr:uid="{8D0507ED-8571-4CEF-8DFC-BC845B975621}">
      <text>
        <r>
          <rPr>
            <sz val="11"/>
            <color theme="1"/>
            <rFont val="Calibri"/>
            <family val="2"/>
            <scheme val="minor"/>
          </rPr>
          <t xml:space="preserve">
% of opening PP&amp;E</t>
        </r>
      </text>
    </comment>
    <comment ref="M12" authorId="0" shapeId="0" xr:uid="{E713E400-165D-45AB-BE5F-E83FFB87781B}">
      <text>
        <r>
          <rPr>
            <sz val="11"/>
            <color theme="1"/>
            <rFont val="Calibri"/>
            <family val="2"/>
            <scheme val="minor"/>
          </rPr>
          <t xml:space="preserve">
% of opening PP&amp;E</t>
        </r>
      </text>
    </comment>
    <comment ref="A101" authorId="0" shapeId="0" xr:uid="{9E01BB2B-D22D-4BB6-A80E-F64221AC9E35}">
      <text>
        <r>
          <rPr>
            <sz val="11"/>
            <color theme="1"/>
            <rFont val="Calibri"/>
            <family val="2"/>
            <scheme val="minor"/>
          </rPr>
          <t>======
ID#AAAAqQiQ8JM
CFI    (2023-02-13 21:11:43)
We are using term debt/bond in this example so there's no compounding interest. To learn more about revolver and compound interest, take our LBO modeling course.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2" authorId="0" shapeId="0" xr:uid="{82A0CED5-AE58-469F-91E6-D45126CE5DF1}">
      <text>
        <r>
          <rPr>
            <sz val="11"/>
            <color theme="1"/>
            <rFont val="Calibri"/>
            <family val="2"/>
            <scheme val="minor"/>
          </rPr>
          <t xml:space="preserve">
% of opening PP&amp;E</t>
        </r>
      </text>
    </comment>
    <comment ref="J12" authorId="0" shapeId="0" xr:uid="{81A374D3-EB1F-417C-B4DE-4C84F7110F0C}">
      <text>
        <r>
          <rPr>
            <sz val="11"/>
            <color theme="1"/>
            <rFont val="Calibri"/>
            <family val="2"/>
            <scheme val="minor"/>
          </rPr>
          <t xml:space="preserve">
% of opening PP&amp;E</t>
        </r>
      </text>
    </comment>
    <comment ref="K12" authorId="0" shapeId="0" xr:uid="{9AE40D63-64F7-4399-84A2-B71136FECCC3}">
      <text>
        <r>
          <rPr>
            <sz val="11"/>
            <color theme="1"/>
            <rFont val="Calibri"/>
            <family val="2"/>
            <scheme val="minor"/>
          </rPr>
          <t xml:space="preserve">
% of opening PP&amp;E</t>
        </r>
      </text>
    </comment>
    <comment ref="L12" authorId="0" shapeId="0" xr:uid="{0B100E92-BD4C-47E6-9064-FCA24347973E}">
      <text>
        <r>
          <rPr>
            <sz val="11"/>
            <color theme="1"/>
            <rFont val="Calibri"/>
            <family val="2"/>
            <scheme val="minor"/>
          </rPr>
          <t xml:space="preserve">
% of opening PP&amp;E</t>
        </r>
      </text>
    </comment>
    <comment ref="M12" authorId="0" shapeId="0" xr:uid="{2043E0D0-571D-4F64-B439-4422E03B12B4}">
      <text>
        <r>
          <rPr>
            <sz val="11"/>
            <color theme="1"/>
            <rFont val="Calibri"/>
            <family val="2"/>
            <scheme val="minor"/>
          </rPr>
          <t xml:space="preserve">
% of opening PP&amp;E</t>
        </r>
      </text>
    </comment>
    <comment ref="A101" authorId="0" shapeId="0" xr:uid="{C085915C-F411-427B-B285-CF8F75A414F1}">
      <text>
        <r>
          <rPr>
            <sz val="11"/>
            <color theme="1"/>
            <rFont val="Calibri"/>
            <family val="2"/>
            <scheme val="minor"/>
          </rPr>
          <t>======
ID#AAAAqQiQ8JM
CFI    (2023-02-13 21:11:43)
We are using term debt/bond in this example so there's no compounding interest. To learn more about revolver and compound interest, take our LBO modeling course.</t>
        </r>
      </text>
    </comment>
  </commentList>
</comments>
</file>

<file path=xl/sharedStrings.xml><?xml version="1.0" encoding="utf-8"?>
<sst xmlns="http://schemas.openxmlformats.org/spreadsheetml/2006/main" count="551" uniqueCount="200">
  <si>
    <t>Company Name</t>
  </si>
  <si>
    <t>Price</t>
  </si>
  <si>
    <t>Market Cap</t>
  </si>
  <si>
    <t>Sales</t>
  </si>
  <si>
    <t>EBITDA</t>
  </si>
  <si>
    <t>EBIT</t>
  </si>
  <si>
    <t>Earnings</t>
  </si>
  <si>
    <t>EV/Sales</t>
  </si>
  <si>
    <t>EV/EBITDA</t>
  </si>
  <si>
    <t>EV/EBIT</t>
  </si>
  <si>
    <t>P/E</t>
  </si>
  <si>
    <t>Market Data</t>
  </si>
  <si>
    <t>Financial Data</t>
  </si>
  <si>
    <t>Valuation</t>
  </si>
  <si>
    <t>Average</t>
  </si>
  <si>
    <t>($/share)</t>
  </si>
  <si>
    <t>($M)</t>
  </si>
  <si>
    <t>x</t>
  </si>
  <si>
    <t>AwABTAVMT0NBTAFI/////wFQPgAAACxDSVEuTkFTREFRR1M6TU5TVC5JUV9NQVJLRVRDQVAuMy8xOS8yMDE0LlVTRAEAAACxPgUAAgAAAAsxMTYxNy45NzY3NAEGAAAABQAAAAExAQAAAAoxNjYxMjI3MjI2AwAAAAMxNjACAAAABjEwMDA1NAQAAAABMAcAAAAJMy8xOS8yMDE0TEhDuK8R0QhT00YnshHRCDFDSVEuTkFTREFRR1M6TU5TVC5JUV9OSV9OT1JNLjIwMDAuMy8xOS8yMDE0Li4uVVNEAQAAALE+BQACAAAACjM1Ny40ODY4NzUBCAAAAAUAAAABMQEAAAAKMTY2MTIyNzE2MQMAAAADMTYwAgAAAAQ0Mzc4BAAAAAEwBwAAAAkzLzE5LzIwMTQIAAAACjEyLzMxLzIwMTMJAAAAATBw0vpIsRHRCFPTRieyEdEIHUNJUS5OWVNFOktPLklRX01BUktFVENBUC4uVVNEAQAAABJoAAACAAAADDE2ODA0MC43NTkwMgEGAAAABQAAAAExAQAAAAoxNjYwNzU3ODQzAwAAAAMxNjACAAAABjEwMDA1NAQAAAABMAcAAAAJMy8xOS8yMDE0TEhDuK8R0Qg3fBTtsRHRCDNDSVEuTllTRTpEUFMuSVFfRElMVVRfRVBTX05PUk0uMjAwMC4zLzE5LzIwMTQuLi5VU0QBAAAAxxqNAAIAAAAIMy4wMzE3ODQBCAAAAAUAAAABMQEAAAAKMTY1OTQyMTUwMQMAAAADMTYwAgAAAAQ0MzgwBAAAAAEwBwAAAAkzLzE5LzIwMTQIAAAACjEyLzMxLzIwMTMJAAAAATCD2ZMZsRHRCIC3mhmxEdEIKkNJUS5OWVNFOlBFUC5JUV9ESUxVVF9FUFNfTk9</t>
  </si>
  <si>
    <t>STS4yMDAwLi4uLlVTRAEAAABWgAAAAgAAAAgzLjYwMTI4MgEIAAAABQAAAAExAQAAAAoxNjU4MzQyMjU4AwAAAAMxNjACAAAABDQzODAEAAAAATAHAAAACTMvMTkvMjAxNAgAAAAKMTIvMjgvMjAxMwkAAAABMOXbLBexEdEIN300F7ER0QgmQ0lRLk5BU0RBUUdTOk1OU1QuSVFfVEVWLjMvMTkvMjAxNC5VU0QBAAAAsT4FAAIAAAALMTEwMDQuMzgwNzQBBgAAAAUAAAABMQEAAAAKMTY2MTIyNzIyNgMAAAADMTYwAgAAAAYxMDAwNjAEAAAAATAHAAAACTMvMTkvMjAxNBQVWmCwEdEIMYVGJ7IR0QggQ0lRLk5ZU0U6UEVQLklRX0VCSVQuMjAwMC4uLi5VU0QBAAAAVoAAAAIAAAAEOTg3OAEIAAAABQAAAAExAQAAAAoxNjU4MzQyMjU4AwAAAAMxNjACAAAAAzQwMAQAAAABMAcAAAAJMy8xOS8yMDE0CAAAAAoxMi8yOC8yMDEzCQAAAAEw16lM67AR0QiQ61LrsBHRCB5DSVEuT1RDUEs6SlNEQS5JUV9DT01QQU5ZX05BTUUBAAAAaFYGAAMAAAAOSm9uZXMgU29kYSBDby4ADZZ0O68R0QidZhXtsRHRCCxDSVEuTkFTREFRR1M6RklaWi5JUV9NQVJLRVRDQVAuMy8xOS8yMDE0LlVTRAEAAACa6AQAAgAAAAk5NjQuMTg5NzMBBgAAAAUAAAABMQEAAAAKMTY2MTQwMzUyNAMAAAADMTYwAgAAAAYxMDAwNTQEAAAAATAHAAAACTMvMTkvMjAxNExIQ7ivEdEIU9NGJ7IR0QguQ0lRLk5BU0RBUUdTOkZJWlouSVFfRUJJVC4yMDAwLj</t>
  </si>
  <si>
    <t>MvMTkvMjAxNC4uLlVTRAEAAACa6AQAAgAAAAY2Ni4xMzkBCAAAAAUAAAABMQEAAAAKMTY2MTQwMzg0NQMAAAADMTYwAgAAAAM0MDAEAAAAATAHAAAACTMvMTkvMjAxNAgAAAAJMS8yNS8yMDE0CQAAAAEw+/vx7rAR0QhCrEYnshHRCDNDSVEuTllTRTpQRVAuSVFfRElMVVRfRVBTX05PUk0uMjAwMC4zLzE5LzIwMTQuLi5VU0QBAAAAVoAAAAIAAAAIMy42MDEyODIBCAAAAAUAAAABMQEAAAAKMTY1ODM0MjI1OAMAAAADMTYwAgAAAAQ0MzgwBAAAAAEwBwAAAAkzLzE5LzIwMTQIAAAACjEyLzI4LzIwMTMJAAAAATDl2ywXsRHRCDd9NBexEdEIJ0NJUS5OWVNFOkRQUy5JUV9NQVJLRVRDQVAuMy8xOS8yMDE0LlVTRAEAAADHGo0AAgAAAAsxMDMyNS44ODkzOAEGAAAABQAAAAExAQAAAAoxNjU5NDIxNjE1AwAAAAMxNjACAAAABjEwMDA1NAQAAAABMAcAAAAJMy8xOS8yMDE0TEhDuK8R0QhCrEYnshHRCCxDSVEuTllTRTpQRVAuSVFfTklfTk9STS4yMDAwLjMvMTkvMjAxNC4uLlVTRAEAAABWgAAAAgAAAAQ1NjE4AQgAAAAFAAAAATEBAAAACjE2NTgzNDIyNTgDAAAAAzE2MAIAAAAENDM3OAQAAAABMAcAAAAJMy8xOS8yMDE0CAAAAAoxMi8yOC8yMDEzCQAAAAEwLkDjPrER0QhCrEYnshHRCCNDSVEuT1RDUEs6SlNEQS5JUV9URVYuMy8xOS8yMDE0LlVTRAEAAABoVgYAAgAAAAkxNi4zNzE3OTEBBgAAAAUAAAABMQEAA</t>
  </si>
  <si>
    <t>AAKMTY2MTY3NTAwNgMAAAADMTYwAgAAAAYxMDAwNjAEAAAAATAHAAAACTMvMTkvMjAxNBQVWmCwEdEISKMU7bER0QgpQ0lRLk5ZU0U6S08uSVFfRElMVVRfRVBTX05PUk0uMjAwMC4uLi5VU0QBAAAAEmgAAAIAAAAIMS42MzY4MzcBCAAAAAUAAAABMQEAAAAKMTY2MDc1NjM1NQMAAAADMTYwAgAAAAQ0MzgwBAAAAAEwBwAAAAkzLzE5LzIwMTQIAAAACjEyLzMxLzIwMTMJAAAAATCD2ZMZsRHRCG+QmhmxEdEIM0NJUS5OQVNEQVFHUzpNTlNULklRX1RPVEFMX1JFVi4yMDAwLjMvMTkvMjAxNC4uLlVTRAEAAACxPgUAAgAAAAgyMjQ2LjQyOAEIAAAABQAAAAExAQAAAAoxNjYxMjI3MTYxAwAAAAMxNjACAAAAAjI4BAAAAAEwBwAAAAkzLzE5LzIwMTQIAAAACjEyLzMxLzIwMTMJAAAAATBcdHmtsBHRCFPTRieyEdEIJkNJUS5OQVNEQVFHUzpGSVpaLklRX1RFVi4zLzE5LzIwMTQuVVNEAQAAAJroBAACAAAACTk2Ny41MjQ3MwEGAAAABQAAAAExAQAAAAoxNjYxNDAzNTI0AwAAAAMxNjACAAAABjEwMDA2MAQAAAABMAcAAAAJMy8xOS8yMDE0FBVaYLAR0QgxhUYnshHRCCxDSVEuTllTRTpEUFMuSVFfTklfTk9STS4yMDAwLjMvMTkvMjAxNC4uLlVTRAEAAADHGo0AAgAAAAM2MjABCAAAAAUAAAABMQEAAAAKMTY1OTQyMTUwMQMAAAADMTYwAgAAAAQ0Mzc4BAAAAAEwBwAAAAkzLzE5LzIwMTQIAAAACjEyLzMxLzIwMTMJ</t>
  </si>
  <si>
    <t>AAAAATBw0vpIsRHRCEKsRieyEdEII0NJUS5OWVNFOlBFUC5JUV9OSV9OT1JNLjIwMDAuLi4uVVNEAQAAAFaAAAACAAAABDU2MTgBCAAAAAUAAAABMQEAAAAKMTY1ODM0MjI1OAMAAAADMTYwAgAAAAQ0Mzc4BAAAAAEwBwAAAAkzLzE5LzIwMTQIAAAACjEyLzI4LzIwMTMJAAAAATAuQOM+sRHRCE1s6j6xEdEILkNJUS5OWVNFOkRQUy5JUV9UT1RBTF9SRVYuMjAwMC4zLzE5LzIwMTQuLi5VU0QBAAAAxxqNAAIAAAAENTk5NwEIAAAABQAAAAExAQAAAAoxNjU5NDIxNTAxAwAAAAMxNjACAAAAAjI4BAAAAAEwBwAAAAkzLzE5LzIwMTQIAAAACjEyLzMxLzIwMTMJAAAAATBcdHmtsBHRCFPTRieyEdEIK0NJUS5OWVNFOlBFUC5JUV9MQVNUU0FMRVBSSUNFLjMvMTkvMjAxNC5VU0QBAAAAVoAAAAIAAAAFODEuMzcAp8xSi68R0Qhk+kYnshHRCDNDSVEuTkFTREFRR1M6RklaWi5JUV9UT1RBTF9SRVYuMjAwMC4zLzE5LzIwMTQuLi5VU0QBAAAAmugEAAIAAAAGNjQ0LjY2AQgAAAAFAAAAATEBAAAACjE2NjE0MDM4NDUDAAAAAzE2MAIAAAACMjgEAAAAATAHAAAACTMvMTkvMjAxNAgAAAAJMS8yNS8yMDE0CQAAAAEwXHR5rbAR0QhT00YnshHRCCtDSVEuTllTRTpEUFMuSVFfRUJJVERBLjIwMDAuMy8xOS8yMDE0Li4uVVNEAQAAAMcajQACAAAABDEzMTkBCAAAAAUAAAABMQEAAAAKMTY1OTQyMTUwMQMAAAADMTYwAgAAAAQ</t>
  </si>
  <si>
    <t>0MDUxBAAAAAEwBwAAAAkzLzE5LzIwMTQIAAAACjEyLzMxLzIwMTMJAAAAATDu+DTdsBHRCDGFRieyEdEIIENJUS5OWVNFOktPLklRX1RFVi4zLzE5LzIwMTQuVVNEAQAAABJoAAACAAAADDE4NTEyMS43NTkwMgEGAAAABQAAAAExAQAAAAoxNjYwNzU3ODQzAwAAAAMxNjACAAAABjEwMDA2MAQAAAABMAcAAAAJMy8xOS8yMDE0FBVaYLAR0QggXkYnshHRCDVDSVEuT1RDUEs6SlNEQS5JUV9ESUxVVF9FUFNfTk9STS4yMDAwLjMvMTkvMjAxNC4uLlVTRAEAAABoVgYAAgAAAAktMC4wMjk2MDMBCAAAAAUAAAABMQEAAAAKMTY2MjUxMTgyNgMAAAADMTYwAgAAAAQ0MzgwBAAAAAEwBwAAAAkzLzE5LzIwMTQIAAAACjEyLzMxLzIwMTMJAAAAATCD2ZMZsRHRCJHemhmxEdEIG0NJUS5OWVNFOktPLklRX0NPTVBBTllfTkFNRQEAAAASaAAAAwAAABVUaGUgQ29jYS1Db2xhIENvbXBhbnkADZZ0O68R0Qhk+kYnshHRCDhDSVEuTkFTREFRR1M6RklaWi5JUV9ESUxVVF9FUFNfTk9STS4yMDAwLjMvMTkvMjAxNC4uLlVTRAEAAACa6AQAAgAAAAgwLjg4MTMxOQEIAAAABQAAAAExAQAAAAoxNjYxNDAzODQ1AwAAAAMxNjACAAAABDQzODAEAAAAATAHAAAACTMvMTkvMjAxNAgAAAAJMS8yNS8yMDE0CQAAAAEwg9mTGbER0QiAt5oZsRHRCCZDSVEuTllTRTpLTy5JUV9NQVJLRVRDQVAuMy8xOS8yMDE0LlVTRAEAAAASaAAAAgAAAA</t>
  </si>
  <si>
    <t>wxNjgwNDAuNzU5MDIBBgAAAAUAAAABMQEAAAAKMTY2MDc1Nzg0MwMAAAADMTYwAgAAAAYxMDAwNTQEAAAAATAHAAAACTMvMTkvMjAxNExIQ7ivEdEIQqxGJ7IR0QgqQ0lRLk5ZU0U6S08uSVFfTEFTVFNBTEVQUklDRS4zLzE5LzIwMTQuVVNEAQAAABJoAAACAAAABTM4LjE0AENdCJCvEdEIZPpGJ7IR0QgpQ0lRLk5ZU0U6UEVQLklRX0VCSVQuMjAwMC4zLzE5LzIwMTQuLi5VU0QBAAAAVoAAAAIAAAAEOTg3OAEIAAAABQAAAAExAQAAAAoxNjU4MzQyMjU4AwAAAAMxNjACAAAAAzQwMAQAAAABMAcAAAAJMy8xOS8yMDE0CAAAAAoxMi8yOC8yMDEzCQAAAAEw16lM67AR0QgxhUYnshHRCDJDSVEuTllTRTpLTy5JUV9ESUxVVF9FUFNfTk9STS4yMDAwLjMvMTkvMjAxNC4uLlVTRAEAAAASaAAAAgAAAAgxLjYzNjgzNwEIAAAABQAAAAExAQAAAAoxNjYwNzU2MzU1AwAAAAMxNjACAAAABDQzODAEAAAAATAHAAAACTMvMTkvMjAxNAgAAAAKMTIvMzEvMjAxMwkAAAABMIPZkxmxEdEIgLeaGbER0QgtQ0lRLk9UQ1BLOkpTREEuSVFfTEFTVFNBTEVQUklDRS4zLzE5LzIwMTQuVVNEAQAAAGhWBgACAAAABDAuNDYAQ10IkK8R0QiMPxXtsRHRCCtDSVEuTllTRTpEUFMuSVFfTEFTVFNBTEVQUklDRS4zLzE5LzIwMTQuVVNEAQAAAMcajQACAAAABTUyLjMxAENdCJCvEdEIZPpGJ7IR0QgrQ0lRLk5ZU0U6UEVQLklRX0VCSVREQ</t>
  </si>
  <si>
    <t>S4yMDAwLjMvMTkvMjAxNC4uLlVTRAEAAABWgAAAAgAAAAUxMjM0NAEIAAAABQAAAAExAQAAAAoxNjU4MzQyMjU4AwAAAAMxNjACAAAABDQwNTEEAAAAATAHAAAACTMvMTkvMjAxNAgAAAAKMTIvMjgvMjAxMwkAAAABMBkFBtewEdEIIF5GJ7IR0QgcQ0lRLk5ZU0U6RFBTLklRX0NPTVBBTllfTkFNRQEAAADHGo0AAwAAAB1EciBQZXBwZXIgU25hcHBsZSBHcm91cCwgSW5jLgCV7i1LrxHRCGT6RieyEdEILkNJUS5PVENQSzpKU0RBLklRX05JX05PUk0uMjAwMC4zLzE5LzIwMTQuLi5VU0QBAAAAaFYGAAIAAAAHLTEuMTQyNQEIAAAABQAAAAExAQAAAAoxNjYyNTExODI2AwAAAAMxNjACAAAABDQzNzgEAAAAATAHAAAACTMvMTkvMjAxNAgAAAAKMTIvMzEvMjAxMwkAAAABMHDS+kixEdEISKMU7bER0QgtQ0lRLk5ZU0U6S08uSVFfVE9UQUxfUkVWLjIwMDAuMy8xOS8yMDE0Li4uVVNEAQAAABJoAAACAAAABTQ2ODU0AQgAAAAFAAAAATEBAAAACjE2NjA3NTYzNTUDAAAAAzE2MAIAAAACMjgEAAAAATAHAAAACTMvMTkvMjAxNAgAAAAKMTIvMzEvMjAxMwkAAAABMFx0ea2wEdEIU9NGJ7IR0QgXQ0lRLk5ZU0U6S08uSVFfVEVWLi5VU0QBAAAAEmgAAAIAAAAMMTg1MTIxLjc1OTAyAQYAAAAFAAAAATEBAAAACjE2NjA3NTc4NDMDAAAAAzE2MAIAAAAGMTAwMDYwBAAAAAEwBwAAAAkzLzE5LzIwMTQUFVpgsBHRCCBeRiey</t>
  </si>
  <si>
    <t>EdEIOENJUS5OQVNEQVFHUzpNTlNULklRX0RJTFVUX0VQU19OT1JNLjIwMDAuMy8xOS8yMDE0Li4uVVNEAQAAALE+BQACAAAACDIuMDYxNzg1AQgAAAAFAAAAATEBAAAACjE2NjEyMjcxNjEDAAAAAzE2MAIAAAAENDM4MAQAAAABMAcAAAAJMy8xOS8yMDE0CAAAAAoxMi8zMS8yMDEzCQAAAAEwg9mTGbER0QiAt5oZsRHRCCtDSVEuTllTRTpLTy5JUV9OSV9OT1JNLjIwMDAuMy8xOS8yMDE0Li4uVVNEAQAAABJoAAACAAAABjczODAuNQEIAAAABQAAAAExAQAAAAoxNjYwNzU2MzU1AwAAAAMxNjACAAAABDQzNzgEAAAAATAHAAAACTMvMTkvMjAxNAgAAAAKMTIvMzEvMjAxMwkAAAABMHDS+kixEdEIQqxGJ7IR0QgfQ0lRLk5ZU0U6S08uSVFfRUJJVC4yMDAwLi4uLlVTRAEAAAASaAAAAgAAAAUxMTEyNwEIAAAABQAAAAExAQAAAAoxNjYwNzU2MzU1AwAAAAMxNjACAAAAAzQwMAQAAAABMAcAAAAJMy8xOS8yMDE0CAAAAAoxMi8zMS8yMDEzCQAAAAEw+/vx7rAR0QiAEvrusBHRCCFDSVEuTllTRTpEUFMuSVFfVEVWLjMvMTkvMjAxNC5VU0QBAAAAxxqNAAIAAAALMTI3NjMuODg5MzgBBgAAAAUAAAABMQEAAAAKMTY1OTQyMTYxNQMAAAADMTYwAgAAAAYxMDAwNjAEAAAAATAHAAAACTMvMTkvMjAxNBQVWmCwEdEIMYVGJ7IR0QgwQ0lRLk5BU0RBUUdTOkZJWlouSVFfTEFTVFNBTEVQUklDRS4zLzE5LzIwMTQuVVNEAQA</t>
  </si>
  <si>
    <t>AAJroBAACAAAABTIwLjgxAENdCJCvEdEIZPpGJ7IR0QgwQ0lRLk5BU0RBUUdTOkZJWlouSVFfRUJJVERBLjIwMDAuMy8xOS8yMDE0Li4uVVNEAQAAAJroBAACAAAABjc3LjYxNQEIAAAABQAAAAExAQAAAAoxNjYxNDAzODQ1AwAAAAMxNjACAAAABDQwNTEEAAAAATAHAAAACTMvMTkvMjAxNAgAAAAJMS8yNS8yMDE0CQAAAAEw/x813bAR0QgxhUYnshHRCCtDSVEuT1RDUEs6SlNEQS5JUV9FQklULjIwMDAuMy8xOS8yMDE0Li4uVVNEAQAAAGhWBgACAAAABi0xLjgzOAEIAAAABQAAAAExAQAAAAoxNjYyNTExODI2AwAAAAMxNjACAAAAAzQwMAQAAAABMAcAAAAJMy8xOS8yMDE0CAAAAAoxMi8zMS8yMDEzCQAAAAEw+/vx7rAR0QhZyhTtsRHRCCFDSVEuTkFTREFRR1M6RklaWi5JUV9DT01QQU5ZX05BTUUBAAAAmugEAAMAAAAXTmF0aW9uYWwgQmV2ZXJhZ2UgQ29ycC4ADZZ0O68R0Qhk+kYnshHRCCFDSVEuTllTRTpQRVAuSVFfVEVWLjMvMTkvMjAxNC5VU0QBAAAAVoAAAAIAAAAMMTQzODI0LjA1ODQyAQYAAAAFAAAAATEBAAAACjE2NTgzNDM0MDQDAAAAAzE2MAIAAAAGMTAwMDYwBAAAAAEwBwAAAAkzLzE5LzIwMTR8F0ldsBHRCCBeRieyEdEIMUNJUS5OQVNEQVFHUzpGSVpaLklRX05JX05PUk0uMjAwMC4zLzE5LzIwMTQuLi5VU0QBAAAAmugEAAIAAAAJNDAuOTkwNjI1AQgAAAAFAAAAATEBAAAACjE2NjE0MD</t>
  </si>
  <si>
    <t>M4NDUDAAAAAzE2MAIAAAAENDM3OAQAAAABMAcAAAAJMy8xOS8yMDE0CAAAAAkxLzI1LzIwMTQJAAAAATBw0vpIsRHRCFPTRieyEdEILkNJUS5OQVNEQVFHUzpNTlNULklRX0VCSVQuMjAwMC4zLzE5LzIwMTQuLi5VU0QBAAAAsT4FAAIAAAAHNTgzLjcxNgEIAAAABQAAAAExAQAAAAoxNjYxMjI3MTYxAwAAAAMxNjACAAAAAzQwMAQAAAABMAcAAAAJMy8xOS8yMDE0CAAAAAoxMi8zMS8yMDEzCQAAAAEw+/vx7rAR0QhCrEYnshHRCDBDSVEuT1RDUEs6SlNEQS5JUV9UT1RBTF9SRVYuMjAwMC4zLzE5LzIwMTQuLi5VU0QBAAAAaFYGAAIAAAAGMTMuNjk2AQgAAAAFAAAAATEBAAAACjE2NjI1MTE4MjYDAAAAAzE2MAIAAAACMjgEAAAAATAHAAAACTMvMTkvMjAxNAgAAAAKMTIvMzEvMjAxMwkAAAABMFx0ea2wEdEIexgV7bER0QgoQ0lRLk5ZU0U6S08uSVFfRUJJVC4yMDAwLjMvMTkvMjAxNC4uLlVTRAEAAAASaAAAAgAAAAUxMTEyNwEIAAAABQAAAAExAQAAAAoxNjYwNzU2MzU1AwAAAAMxNjACAAAAAzQwMAQAAAABMAcAAAAJMy8xOS8yMDE0CAAAAAoxMi8zMS8yMDEzCQAAAAEw+/vx7rAR0QgxhUYnshHRCDBDSVEuTkFTREFRR1M6TU5TVC5JUV9MQVNUU0FMRVBSSUNFLjMvMTkvMjAxNC5VU0QBAAAAsT4FAAIAAAAFNjkuNjIAQ10IkK8R0Qhk+kYnshHRCBxDSVEuTllTRTpQRVAuSVFfQ09NUEFOWV9OQU1FAQAAA</t>
  </si>
  <si>
    <t>FaAAAADAAAADVBlcHNpY28sIEluYy4A6ytnM68R0Qh1IUcnshHRCC5DSVEuTllTRTpQRVAuSVFfVE9UQUxfUkVWLjIwMDAuMy8xOS8yMDE0Li4uVVNEAQAAAFaAAAACAAAABTY2NDE1AQgAAAAFAAAAATEBAAAACjE2NTgzNDIyNTgDAAAAAzE2MAIAAAACMjgEAAAAATAHAAAACTMvMTkvMjAxNAgAAAAKMTIvMjgvMjAxMwkAAAABMN56ZauwEdEIU9NGJ7IR0QgtQ0lRLk9UQ1BLOkpTREEuSVFfRUJJVERBLjIwMDAuMy8xOS8yMDE0Li4uVVNEAQAAAGhWBgACAAAABi0xLjYwNgEIAAAABQAAAAExAQAAAAoxNjYyNTExODI2AwAAAAMxNjACAAAABDQwNTEEAAAAATAHAAAACTMvMTkvMjAxNAgAAAAKMTIvMzEvMjAxMwkAAAABMP8fNd2wEdEIavEU7bER0QgqQ0lRLk5ZU0U6S08uSVFfRUJJVERBLjIwMDAuMy8xOS8yMDE0Li4uVVNEAQAAABJoAAACAAAABTEzMTA0AQgAAAAFAAAAATEBAAAACjE2NjA3NTYzNTUDAAAAAzE2MAIAAAAENDA1MQQAAAABMAcAAAAJMy8xOS8yMDE0CAAAAAoxMi8zMS8yMDEzCQAAAAEw7vg03bAR0QggXkYnshHRCCJDSVEuTllTRTpLTy5JUV9OSV9OT1JNLjIwMDAuLi4uVVNEAQAAABJoAAACAAAABjczODAuNQEIAAAABQAAAAExAQAAAAoxNjYwNzU2MzU1AwAAAAMxNjACAAAABDQzNzgEAAAAATAHAAAACTMvMTkvMjAxNAgAAAAKMTIvMzEvMjAxMwkAAAABMHDS+kixEdEIoCUCSbER0Qgw</t>
  </si>
  <si>
    <t>Q0lRLk5BU0RBUUdTOk1OU1QuSVFfRUJJVERBLjIwMDAuMy8xOS8yMDE0Li4uVVNEAQAAALE+BQACAAAABzYwNi40NzgBCAAAAAUAAAABMQEAAAAKMTY2MTIyNzE2MQMAAAADMTYwAgAAAAQ0MDUxBAAAAAEwBwAAAAkzLzE5LzIwMTQIAAAACjEyLzMxLzIwMTMJAAAAATD/HzXdsBHRCDGFRieyEdEIKUNJUS5OWVNFOkRQUy5JUV9FQklULjIwMDAuMy8xOS8yMDE0Li4uVVNEAQAAAMcajQACAAAABDExMDMBCAAAAAUAAAABMQEAAAAKMTY1OTQyMTUwMQMAAAADMTYwAgAAAAM0MDAEAAAAATAHAAAACTMvMTkvMjAxNAgAAAAKMTIvMzEvMjAxMwkAAAABMPv78e6wEdEIQqxGJ7IR0QgpQ0lRLk9UQ1BLOkpTREEuSVFfTUFSS0VUQ0FQLjMvMTkvMjAxNC5VU0QBAAAAaFYGAAIAAAAJMTcuODA2NzkxAQYAAAAFAAAAATEBAAAACjE2NjE2NzUwMDYDAAAAAzE2MAIAAAAGMTAwMDU0BAAAAAEwBwAAAAkzLzE5LzIwMTRMSEO4rxHRCEijFO2xEdEIIUNJUS5OQVNEQVFHUzpNTlNULklRX0NPTVBBTllfTkFNRQEAAACxPgUAAwAAABxNb25zdGVyIEJldmVyYWdlIENvcnBvcmF0aW9uAA2WdDuvEdEIZPpGJ7IR0QgnQ0lRLk5ZU0U6UEVQLklRX01BUktFVENBUC4zLzE5LzIwMTQuVVNEAQAAAFaAAAACAAAADDEyMzg4My4wNTg0MgEGAAAABQAAAAExAQAAAAoxNjU4MzQzNDA0AwAAAAMxNjACAAAABjEwMDA1NAQAAAABMAcAAAA</t>
  </si>
  <si>
    <t>JMy8xOS8yMDE0tJ/1ta8R0QhCrEYnshHRCA==</t>
  </si>
  <si>
    <t>EV</t>
  </si>
  <si>
    <t xml:space="preserve">Table of Contents </t>
  </si>
  <si>
    <r>
      <rPr>
        <b/>
        <sz val="22"/>
        <rFont val="Arial Narrow"/>
        <family val="2"/>
      </rPr>
      <t>Comparable Company Analysis</t>
    </r>
    <r>
      <rPr>
        <b/>
        <sz val="22"/>
        <color theme="8" tint="-0.249977111117893"/>
        <rFont val="Arial Narrow"/>
        <family val="2"/>
      </rPr>
      <t xml:space="preserve"> </t>
    </r>
  </si>
  <si>
    <t>Apple</t>
  </si>
  <si>
    <t>Microsoft</t>
  </si>
  <si>
    <t xml:space="preserve">In Millions Of $ </t>
  </si>
  <si>
    <t>DCF Model</t>
  </si>
  <si>
    <t>Assumptions</t>
  </si>
  <si>
    <t>Tax Rate</t>
  </si>
  <si>
    <t>Discount Rate</t>
  </si>
  <si>
    <t>Perpetural Growth Rate</t>
  </si>
  <si>
    <t>EV/EBITDA Mulltiple</t>
  </si>
  <si>
    <t>20.0x</t>
  </si>
  <si>
    <t>Transaction Date</t>
  </si>
  <si>
    <t>Fiscal Year End</t>
  </si>
  <si>
    <t>Current Price</t>
  </si>
  <si>
    <t>Shares Outstanding</t>
  </si>
  <si>
    <t>Debt</t>
  </si>
  <si>
    <t>Cash</t>
  </si>
  <si>
    <t>Capex</t>
  </si>
  <si>
    <t>Discounted Cash Flow</t>
  </si>
  <si>
    <t>Entry</t>
  </si>
  <si>
    <t>Exit</t>
  </si>
  <si>
    <t>Date</t>
  </si>
  <si>
    <t>Terminal Value</t>
  </si>
  <si>
    <t>-</t>
  </si>
  <si>
    <t>Perpetual Growth</t>
  </si>
  <si>
    <t>Less: Cash Taxes</t>
  </si>
  <si>
    <t>Plus: D&amp;A</t>
  </si>
  <si>
    <t>Less: Capex</t>
  </si>
  <si>
    <t>Less: Changes in NWC</t>
  </si>
  <si>
    <t>Unlevered FCF</t>
  </si>
  <si>
    <t>(Entry)/Exit</t>
  </si>
  <si>
    <t>Transaction CF</t>
  </si>
  <si>
    <t>Intrinsic Value</t>
  </si>
  <si>
    <t>Market Value</t>
  </si>
  <si>
    <t>Rate of Return</t>
  </si>
  <si>
    <t>Enterprise Value</t>
  </si>
  <si>
    <t>Target Price Upside</t>
  </si>
  <si>
    <t>Plus: Cash</t>
  </si>
  <si>
    <t>Plus: Debt</t>
  </si>
  <si>
    <t>Internal Rate of Return (IRR)</t>
  </si>
  <si>
    <t>Less: Debt</t>
  </si>
  <si>
    <t>Less: Cash</t>
  </si>
  <si>
    <t>Equity Value</t>
  </si>
  <si>
    <t>Market Value vs Intrinsic Value</t>
  </si>
  <si>
    <t>Equity Value/Share</t>
  </si>
  <si>
    <t>Upside</t>
  </si>
  <si>
    <t>Perpetual Growth Rate</t>
  </si>
  <si>
    <t>EV/EBITDA Multiple</t>
  </si>
  <si>
    <t>24.0x</t>
  </si>
  <si>
    <t>Revenue</t>
  </si>
  <si>
    <t>Low</t>
  </si>
  <si>
    <t>High</t>
  </si>
  <si>
    <t xml:space="preserve"> </t>
  </si>
  <si>
    <t>Expenses</t>
  </si>
  <si>
    <t>Balance Sheet</t>
  </si>
  <si>
    <t>Assets</t>
  </si>
  <si>
    <t>Total Assets</t>
  </si>
  <si>
    <t>Liabilities</t>
  </si>
  <si>
    <t>Total Expenses</t>
  </si>
  <si>
    <t>DCF Comparison</t>
  </si>
  <si>
    <t>Higher EV/ Sales</t>
  </si>
  <si>
    <t>Higher EV/ EBITDA</t>
  </si>
  <si>
    <t>Higher P/E</t>
  </si>
  <si>
    <t xml:space="preserve">Better EBITDA Margin </t>
  </si>
  <si>
    <t>Better Net Margin</t>
  </si>
  <si>
    <t>Metric</t>
  </si>
  <si>
    <t>Current Share Price</t>
  </si>
  <si>
    <t>DCF Implied Share Price</t>
  </si>
  <si>
    <t>Upside/Downside</t>
  </si>
  <si>
    <t>Apple DCF Sensitivity Analysis Table</t>
  </si>
  <si>
    <t>Microsoft DCF Sensitivity Analysis Table</t>
  </si>
  <si>
    <t>Historical Results</t>
  </si>
  <si>
    <t xml:space="preserve"> Forecast Period</t>
  </si>
  <si>
    <t>In Millions of US $</t>
  </si>
  <si>
    <t>Key Assumptions</t>
  </si>
  <si>
    <t>Revenue Growth (% Change)</t>
  </si>
  <si>
    <t>Cost of Goods Sold (% of Revenue)</t>
  </si>
  <si>
    <t>Salaries and Benefits (% of Revenue)</t>
  </si>
  <si>
    <t>Rent and Overhead ($000's)</t>
  </si>
  <si>
    <t>Depreciation &amp; Amortization (% of PP&amp;E)</t>
  </si>
  <si>
    <t>Interest (% of Debt)</t>
  </si>
  <si>
    <t>Tax Rate (% of Earnings Before Tax)</t>
  </si>
  <si>
    <t>Accounts Receivable (Days)</t>
  </si>
  <si>
    <t>Inventory (Days)</t>
  </si>
  <si>
    <t>Accounts Payable (Days)</t>
  </si>
  <si>
    <t>Capital Expenditures ($000's)</t>
  </si>
  <si>
    <t>Debt Issuance (Repayment) ($000's)</t>
  </si>
  <si>
    <t>Equity Issued (Repaid) ($000's)</t>
  </si>
  <si>
    <t>Days in Period</t>
  </si>
  <si>
    <t>Income Statement</t>
  </si>
  <si>
    <t>Cost of Goods Sold (COGS)</t>
  </si>
  <si>
    <t>Gross Profit</t>
  </si>
  <si>
    <t>Research and Development Expenses</t>
  </si>
  <si>
    <t>SG&amp;A Expenses</t>
  </si>
  <si>
    <t>Other Operating Income or Expenses</t>
  </si>
  <si>
    <t>Earnings Before Tax</t>
  </si>
  <si>
    <t>Taxes</t>
  </si>
  <si>
    <t>Net Earnings</t>
  </si>
  <si>
    <t>Accounts Receivable</t>
  </si>
  <si>
    <t>Inventory</t>
  </si>
  <si>
    <t>Property &amp; Equipment</t>
  </si>
  <si>
    <t>Accounts Payable</t>
  </si>
  <si>
    <t>Total Liabilities</t>
  </si>
  <si>
    <t>Shareholder's Equity</t>
  </si>
  <si>
    <t>Equity Capital</t>
  </si>
  <si>
    <t xml:space="preserve"> -</t>
  </si>
  <si>
    <t>Retained Earnings</t>
  </si>
  <si>
    <t>Total Liabilities &amp; Shareholder's Equity</t>
  </si>
  <si>
    <t>Cash Flow Statement</t>
  </si>
  <si>
    <t>Operating Cash Flow</t>
  </si>
  <si>
    <t>Plus: Depreciation &amp; Amortization</t>
  </si>
  <si>
    <t>Less: Changes in Working Capital</t>
  </si>
  <si>
    <t>Cash from Operations</t>
  </si>
  <si>
    <t>Investing Cash Flow</t>
  </si>
  <si>
    <t>Investments in Property &amp; Equipment</t>
  </si>
  <si>
    <t>Cash from Investing</t>
  </si>
  <si>
    <t>Financing Cash Flow</t>
  </si>
  <si>
    <t>Issuance (repayment) of debt</t>
  </si>
  <si>
    <t>Issuance (repayment) of equity</t>
  </si>
  <si>
    <t>Cash from Financing</t>
  </si>
  <si>
    <t>Net Increase (decrease) in Cash</t>
  </si>
  <si>
    <t>Opening Cash Balance</t>
  </si>
  <si>
    <t>Closing Cash Balance</t>
  </si>
  <si>
    <t>Supporting Schedules</t>
  </si>
  <si>
    <t>Working Capital Schedule</t>
  </si>
  <si>
    <t>Net Working Capital (NWC)</t>
  </si>
  <si>
    <t>Change in NWC</t>
  </si>
  <si>
    <t>Depreciation Schedule</t>
  </si>
  <si>
    <t>PPE Opening</t>
  </si>
  <si>
    <t>Plus Capex</t>
  </si>
  <si>
    <t>Less Depreciation</t>
  </si>
  <si>
    <t>PPE Closing</t>
  </si>
  <si>
    <t>Debt &amp; Interest Schedule</t>
  </si>
  <si>
    <t>Debt Opening</t>
  </si>
  <si>
    <t>Issuance (repayment)</t>
  </si>
  <si>
    <t>Debt Closing</t>
  </si>
  <si>
    <t>Interest Expense</t>
  </si>
  <si>
    <t>Charts and Graphs</t>
  </si>
  <si>
    <t>Gross Profit Margin (%)</t>
  </si>
  <si>
    <t>Comps Table</t>
  </si>
  <si>
    <t>Microsoft DCF Model</t>
  </si>
  <si>
    <t>Microsoft 3-Statement Model</t>
  </si>
  <si>
    <t>Apple 3-Statement Model</t>
  </si>
  <si>
    <t>Apple DCF Model</t>
  </si>
  <si>
    <t>Sensitivity Analysis Table</t>
  </si>
  <si>
    <t xml:space="preserve"> ($M)</t>
  </si>
  <si>
    <r>
      <t>Implied Equity Value (</t>
    </r>
    <r>
      <rPr>
        <i/>
        <sz val="12"/>
        <color theme="3" tint="-0.249977111117893"/>
        <rFont val="Calibri"/>
        <family val="2"/>
        <scheme val="minor"/>
      </rPr>
      <t>$M</t>
    </r>
    <r>
      <rPr>
        <sz val="12"/>
        <color theme="3" tint="-0.249977111117893"/>
        <rFont val="Calibri"/>
        <family val="2"/>
        <scheme val="minor"/>
      </rPr>
      <t>)</t>
    </r>
  </si>
  <si>
    <r>
      <t>Implied Enterprise Value (</t>
    </r>
    <r>
      <rPr>
        <i/>
        <sz val="12"/>
        <color theme="3" tint="-0.249977111117893"/>
        <rFont val="Calibri"/>
        <family val="2"/>
        <scheme val="minor"/>
      </rPr>
      <t>$M</t>
    </r>
    <r>
      <rPr>
        <sz val="12"/>
        <color theme="3" tint="-0.249977111117893"/>
        <rFont val="Calibri"/>
        <family val="2"/>
        <scheme val="minor"/>
      </rPr>
      <t>)</t>
    </r>
  </si>
  <si>
    <r>
      <t>Selected Terminal Value (</t>
    </r>
    <r>
      <rPr>
        <i/>
        <sz val="12"/>
        <color theme="3" tint="-0.249977111117893"/>
        <rFont val="Calibri"/>
        <family val="2"/>
        <scheme val="minor"/>
      </rPr>
      <t>$M</t>
    </r>
    <r>
      <rPr>
        <sz val="12"/>
        <color theme="3" tint="-0.249977111117893"/>
        <rFont val="Calibri"/>
        <family val="2"/>
        <scheme val="minor"/>
      </rPr>
      <t>)</t>
    </r>
  </si>
  <si>
    <t>52-Week Trading Range</t>
  </si>
  <si>
    <t>Comparable Companies</t>
  </si>
  <si>
    <t>DCF - Sensitivity Range</t>
  </si>
  <si>
    <t>DCF - Base Case Range</t>
  </si>
  <si>
    <t>Analyst Target Range</t>
  </si>
  <si>
    <t xml:space="preserve">Microsoft </t>
  </si>
  <si>
    <t>Valuation Range Chart</t>
  </si>
  <si>
    <t>Financial data in $ millions, except per-share data and multiples</t>
  </si>
  <si>
    <t>Apple vs. Microsoft Valuation Comparison</t>
  </si>
  <si>
    <t>Valuation and Profitability Summary</t>
  </si>
  <si>
    <t xml:space="preserve">Terminal Growth Rate </t>
  </si>
  <si>
    <t>Summary:</t>
  </si>
  <si>
    <t>This analysis compares Apple and Microsoft using trading multiples and DCF-implied valuation. Apple trades at higher EV/EBITDA, EV/EBIT, and P/E multiples, suggesting it is more expensive on profit-based valuation metrics. Microsoft has stronger profitability, with better EBITDA and net margins, and shows higher DCF upside under the base-case assumptions. Apple’s DCF valuation uses a lower discount rate and higher terminal growth rate, which makes its implied value more dependent on optimistic assumptions. Based on the current model outputs, Apple appears slightly undervalued, while Microsoft appears modestly undervalued with stronger relative upside.</t>
  </si>
  <si>
    <t>Microsoft trades at a higher EV/Sales multiple, suggesting the market places a higher value on each dollar of Microsoft revenue. Apple trades at higher EV/EBITDA, EV/EBIT, and P/E multiples, meaning Apple is more expensive based on EBITDA, operating income, and earnings. Microsoft shows stronger profitability, with better EBITDA and net margins, which suggests it converts revenue into profit more efficiently than Apple.</t>
  </si>
  <si>
    <t>Range Start</t>
  </si>
  <si>
    <t>Range End</t>
  </si>
  <si>
    <t>Apple vs. Microsoft Valuation Range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</si>
</sst>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64" formatCode="0.0\x"/>
    <numFmt numFmtId="165" formatCode="_-* #,##0_-;\(#,##0\)_-;_-* &quot;-&quot;_-;_-@_-"/>
    <numFmt numFmtId="166" formatCode="_ * #,##0_ ;_ * \-#,##0_ ;_ * &quot;-&quot;??_ ;_ @_ "/>
    <numFmt numFmtId="167" formatCode="0.0%"/>
    <numFmt numFmtId="168" formatCode="_-* #,##0_-;\-* #,##0_-;_-* &quot;-&quot;??_-;_-@_-"/>
    <numFmt numFmtId="169" formatCode="_(* #,##0_);_(* \(#,##0\);_(* &quot;-&quot;??_);_(@_)"/>
    <numFmt numFmtId="170" formatCode="&quot;$&quot;#,##0"/>
    <numFmt numFmtId="171" formatCode="_-* #,##0.00_-;\(#,##0.00\)_-;_-* &quot;-&quot;_-;_-@_-"/>
    <numFmt numFmtId="172" formatCode="_-* #,##0_-;\(#,##0\)_-;_-* &quot;-&quot;_-;_-@"/>
    <numFmt numFmtId="173" formatCode="_-* #,##0_-;\-* #,##0_-;_-* &quot;-&quot;??_-;_-@"/>
    <numFmt numFmtId="174" formatCode="0.0000_ ;\-0.0000\ "/>
    <numFmt numFmtId="175" formatCode="0.0"/>
  </numFmts>
  <fonts count="69" x14ac:knownFonts="1">
    <font>
      <sz val="11"/>
      <color theme="1"/>
      <name val="Calibri"/>
      <family val="2"/>
      <scheme val="minor"/>
    </font>
    <font>
      <sz val="11"/>
      <color theme="1"/>
      <name val="Arial Narrow"/>
      <family val="2"/>
    </font>
    <font>
      <b/>
      <sz val="11"/>
      <color theme="1"/>
      <name val="Arial Narrow"/>
      <family val="2"/>
    </font>
    <font>
      <sz val="11"/>
      <color theme="0"/>
      <name val="Arial Narrow"/>
      <family val="2"/>
    </font>
    <font>
      <sz val="11"/>
      <color theme="1"/>
      <name val="Calibri"/>
      <family val="2"/>
      <scheme val="minor"/>
    </font>
    <font>
      <sz val="8"/>
      <color theme="0"/>
      <name val="Open Sans"/>
      <family val="2"/>
    </font>
    <font>
      <sz val="12"/>
      <color theme="1"/>
      <name val="Open Sans"/>
      <family val="2"/>
    </font>
    <font>
      <b/>
      <sz val="11"/>
      <color theme="0"/>
      <name val="Open Sans"/>
      <family val="2"/>
    </font>
    <font>
      <u/>
      <sz val="11"/>
      <color theme="10"/>
      <name val="Calibri"/>
      <family val="2"/>
      <scheme val="minor"/>
    </font>
    <font>
      <i/>
      <sz val="12"/>
      <color theme="1"/>
      <name val="Arial Narrow"/>
      <family val="2"/>
    </font>
    <font>
      <sz val="12"/>
      <color theme="1"/>
      <name val="Calibri"/>
      <family val="2"/>
      <scheme val="minor"/>
    </font>
    <font>
      <u/>
      <sz val="12"/>
      <color rgb="FF0070C0"/>
      <name val="Calibri"/>
      <family val="2"/>
      <scheme val="minor"/>
    </font>
    <font>
      <sz val="11"/>
      <color theme="1"/>
      <name val="Open Sans"/>
      <family val="2"/>
    </font>
    <font>
      <u/>
      <sz val="10"/>
      <color theme="10"/>
      <name val="Arial"/>
      <family val="2"/>
    </font>
    <font>
      <u/>
      <sz val="10"/>
      <color theme="1"/>
      <name val="Arial"/>
      <family val="2"/>
    </font>
    <font>
      <b/>
      <sz val="22"/>
      <name val="Arial Narrow"/>
      <family val="2"/>
    </font>
    <font>
      <b/>
      <sz val="22"/>
      <color theme="8" tint="-0.249977111117893"/>
      <name val="Arial Narrow"/>
      <family val="2"/>
    </font>
    <font>
      <sz val="11"/>
      <name val="Arial Narrow"/>
      <family val="2"/>
    </font>
    <font>
      <b/>
      <sz val="12"/>
      <color theme="8" tint="-0.499984740745262"/>
      <name val="Open Sans"/>
      <family val="2"/>
    </font>
    <font>
      <b/>
      <sz val="14"/>
      <color theme="5" tint="-0.249977111117893"/>
      <name val="Open Sans"/>
      <family val="2"/>
    </font>
    <font>
      <b/>
      <sz val="14"/>
      <color rgb="FF3271D2"/>
      <name val="Open Sans"/>
      <family val="2"/>
    </font>
    <font>
      <b/>
      <sz val="10"/>
      <color theme="1"/>
      <name val="Open Sans"/>
      <family val="2"/>
    </font>
    <font>
      <sz val="10"/>
      <color theme="1"/>
      <name val="Open Sans"/>
      <family val="2"/>
    </font>
    <font>
      <sz val="10"/>
      <color rgb="FF0000FF"/>
      <name val="Open Sans"/>
      <family val="2"/>
    </font>
    <font>
      <b/>
      <sz val="10"/>
      <name val="Open Sans"/>
      <family val="2"/>
    </font>
    <font>
      <sz val="10"/>
      <name val="Open Sans"/>
      <family val="2"/>
    </font>
    <font>
      <sz val="10"/>
      <color rgb="FF3271D2"/>
      <name val="Open Sans"/>
      <family val="2"/>
    </font>
    <font>
      <b/>
      <sz val="10"/>
      <color rgb="FF000000"/>
      <name val="Open Sans"/>
      <family val="2"/>
    </font>
    <font>
      <i/>
      <sz val="10"/>
      <color rgb="FF000000"/>
      <name val="Open Sans"/>
      <family val="2"/>
    </font>
    <font>
      <sz val="10"/>
      <color rgb="FF000000"/>
      <name val="Open Sans"/>
      <family val="2"/>
    </font>
    <font>
      <i/>
      <sz val="10"/>
      <color theme="1"/>
      <name val="Open Sans"/>
      <family val="2"/>
    </font>
    <font>
      <u/>
      <sz val="10"/>
      <color theme="10"/>
      <name val="Open Sans"/>
      <family val="2"/>
    </font>
    <font>
      <sz val="10"/>
      <name val="Arial"/>
      <family val="2"/>
    </font>
    <font>
      <sz val="11"/>
      <color theme="5" tint="-0.249977111117893"/>
      <name val="Arial Narrow"/>
      <family val="2"/>
    </font>
    <font>
      <b/>
      <sz val="11"/>
      <color theme="5" tint="-0.249977111117893"/>
      <name val="Arial Narrow"/>
      <family val="2"/>
    </font>
    <font>
      <i/>
      <sz val="9"/>
      <color theme="5" tint="-0.249977111117893"/>
      <name val="Arial Narrow"/>
      <family val="2"/>
    </font>
    <font>
      <b/>
      <sz val="10"/>
      <color theme="5" tint="-0.249977111117893"/>
      <name val="Open Sans"/>
      <family val="2"/>
    </font>
    <font>
      <b/>
      <sz val="11"/>
      <color theme="3" tint="-0.249977111117893"/>
      <name val="Arial Narrow"/>
      <family val="2"/>
    </font>
    <font>
      <sz val="12"/>
      <color theme="3" tint="-0.249977111117893"/>
      <name val="Calibri"/>
      <family val="2"/>
      <scheme val="minor"/>
    </font>
    <font>
      <i/>
      <sz val="12"/>
      <color theme="3" tint="-0.249977111117893"/>
      <name val="Arial Narrow"/>
      <family val="2"/>
    </font>
    <font>
      <i/>
      <sz val="12"/>
      <color theme="3" tint="-0.249977111117893"/>
      <name val="Calibri"/>
      <family val="2"/>
      <scheme val="minor"/>
    </font>
    <font>
      <b/>
      <sz val="10"/>
      <color theme="3" tint="-0.249977111117893"/>
      <name val="Open Sans"/>
      <family val="2"/>
    </font>
    <font>
      <sz val="10"/>
      <color theme="3" tint="-0.249977111117893"/>
      <name val="Open Sans"/>
      <family val="2"/>
    </font>
    <font>
      <b/>
      <sz val="11"/>
      <color theme="1"/>
      <name val="Calibri"/>
      <family val="2"/>
      <scheme val="minor"/>
    </font>
    <font>
      <sz val="8"/>
      <color theme="8" tint="-0.249977111117893"/>
      <name val="Arial Narrow"/>
      <family val="2"/>
    </font>
    <font>
      <sz val="12"/>
      <color theme="8" tint="-0.249977111117893"/>
      <name val="Arial Narrow"/>
      <family val="2"/>
    </font>
    <font>
      <b/>
      <sz val="12"/>
      <name val="Arial Narrow"/>
      <family val="2"/>
    </font>
    <font>
      <b/>
      <sz val="12"/>
      <color theme="0"/>
      <name val="Arial Narrow"/>
      <family val="2"/>
    </font>
    <font>
      <sz val="12"/>
      <color theme="1"/>
      <name val="Arial Narrow"/>
      <family val="2"/>
    </font>
    <font>
      <b/>
      <sz val="14"/>
      <color theme="8" tint="-0.249977111117893"/>
      <name val="Arial Narrow"/>
      <family val="2"/>
    </font>
    <font>
      <b/>
      <sz val="14"/>
      <name val="Arial Narrow"/>
      <family val="2"/>
    </font>
    <font>
      <b/>
      <sz val="14"/>
      <color theme="0"/>
      <name val="Arial Narrow"/>
      <family val="2"/>
    </font>
    <font>
      <sz val="14"/>
      <color theme="1"/>
      <name val="Arial Narrow"/>
      <family val="2"/>
    </font>
    <font>
      <i/>
      <sz val="10"/>
      <color theme="1"/>
      <name val="Arial Narrow"/>
      <family val="2"/>
    </font>
    <font>
      <b/>
      <sz val="14"/>
      <color rgb="FF996633"/>
      <name val="Arial Narrow"/>
      <family val="2"/>
    </font>
    <font>
      <b/>
      <sz val="14"/>
      <color rgb="FF3271D2"/>
      <name val="Arial Narrow"/>
      <family val="2"/>
    </font>
    <font>
      <sz val="12"/>
      <color rgb="FF0000FF"/>
      <name val="Arial Narrow"/>
      <family val="2"/>
    </font>
    <font>
      <b/>
      <sz val="12"/>
      <color theme="1"/>
      <name val="Arial Narrow"/>
      <family val="2"/>
    </font>
    <font>
      <b/>
      <sz val="12"/>
      <color rgb="FF0000FF"/>
      <name val="Arial Narrow"/>
      <family val="2"/>
    </font>
    <font>
      <sz val="16"/>
      <name val="Arial Narrow"/>
      <family val="2"/>
    </font>
    <font>
      <u/>
      <sz val="11"/>
      <color theme="2" tint="0.59999389629810485"/>
      <name val="Arial"/>
      <family val="2"/>
    </font>
    <font>
      <u/>
      <sz val="11"/>
      <color theme="2" tint="0.59999389629810485"/>
      <name val="Calibri"/>
      <family val="2"/>
      <scheme val="minor"/>
    </font>
    <font>
      <u/>
      <sz val="11"/>
      <color theme="2" tint="0.59999389629810485"/>
      <name val="Arial Narrow"/>
      <family val="2"/>
    </font>
    <font>
      <b/>
      <i/>
      <sz val="11"/>
      <color theme="0" tint="-0.499984740745262"/>
      <name val="Arial Narrow"/>
      <family val="2"/>
    </font>
    <font>
      <sz val="11"/>
      <color theme="2" tint="0.39997558519241921"/>
      <name val="Arial Narrow"/>
      <family val="2"/>
    </font>
    <font>
      <b/>
      <sz val="11"/>
      <color theme="2" tint="0.39997558519241921"/>
      <name val="Calibri"/>
      <family val="2"/>
      <scheme val="minor"/>
    </font>
    <font>
      <sz val="11"/>
      <color theme="2" tint="0.39997558519241921"/>
      <name val="Calibri"/>
      <family val="2"/>
      <scheme val="minor"/>
    </font>
    <font>
      <sz val="12"/>
      <color theme="3" tint="-0.249977111117893"/>
      <name val="Open Sans"/>
      <family val="2"/>
    </font>
    <font>
      <b/>
      <sz val="11"/>
      <color theme="3" tint="-0.249977111117893"/>
      <name val="Open Sans"/>
      <family val="2"/>
    </font>
  </fonts>
  <fills count="21">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3" tint="0.79998168889431442"/>
        <bgColor rgb="FF000000"/>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rgb="FFCC6600"/>
        <bgColor rgb="FF132E57"/>
      </patternFill>
    </fill>
    <fill>
      <patternFill patternType="solid">
        <fgColor theme="8" tint="0.39997558519241921"/>
        <bgColor rgb="FF1E8496"/>
      </patternFill>
    </fill>
    <fill>
      <patternFill patternType="solid">
        <fgColor theme="8" tint="0.39997558519241921"/>
        <bgColor indexed="64"/>
      </patternFill>
    </fill>
    <fill>
      <patternFill patternType="solid">
        <fgColor theme="8" tint="-0.249977111117893"/>
        <bgColor rgb="FF132E57"/>
      </patternFill>
    </fill>
    <fill>
      <patternFill patternType="solid">
        <fgColor theme="8" tint="-0.249977111117893"/>
        <bgColor indexed="64"/>
      </patternFill>
    </fill>
    <fill>
      <patternFill patternType="solid">
        <fgColor theme="5" tint="0.79998168889431442"/>
        <bgColor rgb="FF000000"/>
      </patternFill>
    </fill>
    <fill>
      <patternFill patternType="solid">
        <fgColor theme="8" tint="0.59999389629810485"/>
        <bgColor rgb="FF000000"/>
      </patternFill>
    </fill>
    <fill>
      <patternFill patternType="solid">
        <fgColor theme="8" tint="0.79998168889431442"/>
        <bgColor rgb="FF1E8496"/>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3" tint="-0.249977111117893"/>
        <bgColor indexed="64"/>
      </patternFill>
    </fill>
  </fills>
  <borders count="13">
    <border>
      <left/>
      <right/>
      <top/>
      <bottom/>
      <diagonal/>
    </border>
    <border>
      <left/>
      <right/>
      <top style="thin">
        <color theme="0"/>
      </top>
      <bottom/>
      <diagonal/>
    </border>
    <border>
      <left/>
      <right/>
      <top style="thin">
        <color indexed="64"/>
      </top>
      <bottom/>
      <diagonal/>
    </border>
    <border>
      <left/>
      <right/>
      <top/>
      <bottom style="medium">
        <color rgb="FF000000"/>
      </bottom>
      <diagonal/>
    </border>
    <border>
      <left/>
      <right/>
      <top style="thin">
        <color rgb="FF000000"/>
      </top>
      <bottom style="medium">
        <color rgb="FF000000"/>
      </bottom>
      <diagonal/>
    </border>
    <border>
      <left/>
      <right/>
      <top style="hair">
        <color rgb="FF000000"/>
      </top>
      <bottom/>
      <diagonal/>
    </border>
    <border>
      <left/>
      <right/>
      <top/>
      <bottom style="thin">
        <color theme="0"/>
      </bottom>
      <diagonal/>
    </border>
    <border>
      <left/>
      <right style="thin">
        <color theme="0"/>
      </right>
      <top/>
      <bottom/>
      <diagonal/>
    </border>
    <border>
      <left/>
      <right/>
      <top style="thin">
        <color rgb="FF000000"/>
      </top>
      <bottom/>
      <diagonal/>
    </border>
    <border>
      <left/>
      <right/>
      <top style="thin">
        <color rgb="FF000000"/>
      </top>
      <bottom style="double">
        <color rgb="FF000000"/>
      </bottom>
      <diagonal/>
    </border>
    <border>
      <left/>
      <right/>
      <top style="thin">
        <color rgb="FF000000"/>
      </top>
      <bottom style="thin">
        <color rgb="FF000000"/>
      </bottom>
      <diagonal/>
    </border>
    <border>
      <left/>
      <right/>
      <top/>
      <bottom style="thin">
        <color indexed="64"/>
      </bottom>
      <diagonal/>
    </border>
    <border>
      <left/>
      <right/>
      <top/>
      <bottom style="thin">
        <color theme="1"/>
      </bottom>
      <diagonal/>
    </border>
  </borders>
  <cellStyleXfs count="18">
    <xf numFmtId="0" fontId="0" fillId="0" borderId="0"/>
    <xf numFmtId="43" fontId="4" fillId="0" borderId="0" applyFont="0" applyFill="0" applyBorder="0" applyAlignment="0" applyProtection="0"/>
    <xf numFmtId="0" fontId="8" fillId="0" borderId="0" applyNumberFormat="0" applyFill="0" applyBorder="0" applyAlignment="0" applyProtection="0"/>
    <xf numFmtId="0" fontId="4" fillId="0" borderId="0"/>
    <xf numFmtId="0" fontId="13" fillId="0" borderId="0" applyNumberFormat="0" applyFill="0" applyBorder="0" applyAlignment="0" applyProtection="0"/>
    <xf numFmtId="9" fontId="4"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32" fillId="0" borderId="0"/>
    <xf numFmtId="0" fontId="4" fillId="0" borderId="0" applyFont="0" applyFill="0" applyBorder="0" applyAlignment="0" applyProtection="0"/>
    <xf numFmtId="0" fontId="32" fillId="0" borderId="0">
      <alignment vertical="center"/>
    </xf>
    <xf numFmtId="44" fontId="1" fillId="0" borderId="0" applyFont="0" applyFill="0" applyBorder="0" applyAlignment="0" applyProtection="0"/>
    <xf numFmtId="0" fontId="32" fillId="0" borderId="0"/>
    <xf numFmtId="0" fontId="8" fillId="0" borderId="0" applyNumberFormat="0" applyFill="0" applyBorder="0" applyAlignment="0" applyProtection="0"/>
  </cellStyleXfs>
  <cellXfs count="258">
    <xf numFmtId="0" fontId="0" fillId="0" borderId="0" xfId="0"/>
    <xf numFmtId="0" fontId="1" fillId="0" borderId="0" xfId="0" applyFont="1"/>
    <xf numFmtId="0" fontId="9" fillId="0" borderId="0" xfId="0" applyFont="1"/>
    <xf numFmtId="0" fontId="10" fillId="0" borderId="0" xfId="0" applyFont="1"/>
    <xf numFmtId="166" fontId="10" fillId="0" borderId="0" xfId="1" applyNumberFormat="1" applyFont="1"/>
    <xf numFmtId="0" fontId="11" fillId="0" borderId="0" xfId="2" applyFont="1"/>
    <xf numFmtId="0" fontId="12" fillId="0" borderId="0" xfId="0" applyFont="1"/>
    <xf numFmtId="0" fontId="1" fillId="2" borderId="0" xfId="3" applyFont="1" applyFill="1"/>
    <xf numFmtId="0" fontId="1" fillId="3" borderId="0" xfId="3" applyFont="1" applyFill="1"/>
    <xf numFmtId="0" fontId="2" fillId="3" borderId="0" xfId="3" applyFont="1" applyFill="1" applyAlignment="1">
      <alignment horizontal="right"/>
    </xf>
    <xf numFmtId="0" fontId="1" fillId="3" borderId="0" xfId="3" applyFont="1" applyFill="1" applyProtection="1">
      <protection locked="0"/>
    </xf>
    <xf numFmtId="0" fontId="4" fillId="3" borderId="0" xfId="3" applyFill="1"/>
    <xf numFmtId="0" fontId="1" fillId="3" borderId="2" xfId="3" applyFont="1" applyFill="1" applyBorder="1"/>
    <xf numFmtId="0" fontId="14" fillId="3" borderId="0" xfId="4" applyFont="1" applyFill="1" applyBorder="1"/>
    <xf numFmtId="0" fontId="3" fillId="3" borderId="0" xfId="3" applyFont="1" applyFill="1"/>
    <xf numFmtId="0" fontId="16" fillId="3" borderId="0" xfId="3" applyFont="1" applyFill="1" applyProtection="1">
      <protection locked="0"/>
    </xf>
    <xf numFmtId="165" fontId="18" fillId="4" borderId="0" xfId="1" applyNumberFormat="1" applyFont="1" applyFill="1"/>
    <xf numFmtId="165" fontId="6" fillId="4" borderId="0" xfId="1" applyNumberFormat="1" applyFont="1" applyFill="1"/>
    <xf numFmtId="165" fontId="6" fillId="4" borderId="0" xfId="1" applyNumberFormat="1" applyFont="1" applyFill="1" applyAlignment="1">
      <alignment horizontal="center"/>
    </xf>
    <xf numFmtId="0" fontId="19" fillId="5" borderId="0" xfId="3" applyFont="1" applyFill="1" applyAlignment="1">
      <alignment vertical="center"/>
    </xf>
    <xf numFmtId="0" fontId="20" fillId="5" borderId="0" xfId="3" applyFont="1" applyFill="1" applyAlignment="1">
      <alignment vertical="center"/>
    </xf>
    <xf numFmtId="165" fontId="21" fillId="0" borderId="0" xfId="1" applyNumberFormat="1" applyFont="1"/>
    <xf numFmtId="165" fontId="22" fillId="0" borderId="0" xfId="1" applyNumberFormat="1" applyFont="1"/>
    <xf numFmtId="165" fontId="22" fillId="0" borderId="0" xfId="1" applyNumberFormat="1" applyFont="1" applyAlignment="1">
      <alignment horizontal="center"/>
    </xf>
    <xf numFmtId="165" fontId="23" fillId="0" borderId="0" xfId="1" applyNumberFormat="1" applyFont="1"/>
    <xf numFmtId="165" fontId="24" fillId="0" borderId="3" xfId="1" applyNumberFormat="1" applyFont="1" applyFill="1" applyBorder="1"/>
    <xf numFmtId="165" fontId="23" fillId="0" borderId="3" xfId="1" applyNumberFormat="1" applyFont="1" applyFill="1" applyBorder="1"/>
    <xf numFmtId="165" fontId="25" fillId="0" borderId="0" xfId="1" applyNumberFormat="1" applyFont="1" applyBorder="1"/>
    <xf numFmtId="165" fontId="23" fillId="0" borderId="0" xfId="1" applyNumberFormat="1" applyFont="1" applyBorder="1"/>
    <xf numFmtId="9" fontId="26" fillId="0" borderId="0" xfId="5" applyFont="1" applyBorder="1" applyAlignment="1">
      <alignment horizontal="right"/>
    </xf>
    <xf numFmtId="165" fontId="25" fillId="0" borderId="0" xfId="1" applyNumberFormat="1" applyFont="1"/>
    <xf numFmtId="167" fontId="26" fillId="0" borderId="0" xfId="5" applyNumberFormat="1" applyFont="1" applyAlignment="1">
      <alignment horizontal="right"/>
    </xf>
    <xf numFmtId="9" fontId="26" fillId="0" borderId="0" xfId="5" applyFont="1" applyAlignment="1">
      <alignment horizontal="right"/>
    </xf>
    <xf numFmtId="164" fontId="26" fillId="0" borderId="0" xfId="1" applyNumberFormat="1" applyFont="1" applyAlignment="1">
      <alignment horizontal="right"/>
    </xf>
    <xf numFmtId="14" fontId="26" fillId="0" borderId="0" xfId="1" applyNumberFormat="1" applyFont="1"/>
    <xf numFmtId="14" fontId="26" fillId="0" borderId="0" xfId="1" applyNumberFormat="1" applyFont="1" applyFill="1"/>
    <xf numFmtId="39" fontId="26" fillId="0" borderId="0" xfId="1" applyNumberFormat="1" applyFont="1" applyAlignment="1">
      <alignment horizontal="right"/>
    </xf>
    <xf numFmtId="168" fontId="26" fillId="0" borderId="0" xfId="1" applyNumberFormat="1" applyFont="1" applyAlignment="1">
      <alignment horizontal="right"/>
    </xf>
    <xf numFmtId="165" fontId="26" fillId="0" borderId="0" xfId="1" applyNumberFormat="1" applyFont="1"/>
    <xf numFmtId="14" fontId="23" fillId="0" borderId="0" xfId="1" applyNumberFormat="1" applyFont="1"/>
    <xf numFmtId="165" fontId="22" fillId="0" borderId="0" xfId="1" applyNumberFormat="1" applyFont="1" applyBorder="1"/>
    <xf numFmtId="165" fontId="21" fillId="0" borderId="0" xfId="1" applyNumberFormat="1" applyFont="1" applyFill="1" applyBorder="1"/>
    <xf numFmtId="165" fontId="22" fillId="0" borderId="0" xfId="1" applyNumberFormat="1" applyFont="1" applyFill="1" applyBorder="1"/>
    <xf numFmtId="165" fontId="21" fillId="0" borderId="3" xfId="1" applyNumberFormat="1" applyFont="1" applyFill="1" applyBorder="1" applyAlignment="1">
      <alignment horizontal="right"/>
    </xf>
    <xf numFmtId="0" fontId="27" fillId="0" borderId="4" xfId="1" applyNumberFormat="1" applyFont="1" applyFill="1" applyBorder="1"/>
    <xf numFmtId="165" fontId="21" fillId="0" borderId="4" xfId="1" applyNumberFormat="1" applyFont="1" applyFill="1" applyBorder="1" applyAlignment="1">
      <alignment horizontal="right"/>
    </xf>
    <xf numFmtId="14" fontId="28" fillId="0" borderId="0" xfId="1" applyNumberFormat="1" applyFont="1" applyBorder="1"/>
    <xf numFmtId="14" fontId="28" fillId="0" borderId="0" xfId="1" applyNumberFormat="1" applyFont="1" applyFill="1" applyBorder="1"/>
    <xf numFmtId="165" fontId="21" fillId="0" borderId="3" xfId="1" applyNumberFormat="1" applyFont="1" applyFill="1" applyBorder="1"/>
    <xf numFmtId="165" fontId="22" fillId="0" borderId="3" xfId="1" applyNumberFormat="1" applyFont="1" applyFill="1" applyBorder="1"/>
    <xf numFmtId="165" fontId="26" fillId="0" borderId="0" xfId="1" applyNumberFormat="1" applyFont="1" applyBorder="1"/>
    <xf numFmtId="165" fontId="29" fillId="0" borderId="0" xfId="1" applyNumberFormat="1" applyFont="1" applyBorder="1"/>
    <xf numFmtId="169" fontId="29" fillId="0" borderId="0" xfId="1" applyNumberFormat="1" applyFont="1"/>
    <xf numFmtId="165" fontId="29" fillId="0" borderId="5" xfId="1" applyNumberFormat="1" applyFont="1" applyBorder="1"/>
    <xf numFmtId="169" fontId="26" fillId="0" borderId="0" xfId="1" applyNumberFormat="1" applyFont="1"/>
    <xf numFmtId="170" fontId="22" fillId="0" borderId="0" xfId="1" applyNumberFormat="1" applyFont="1"/>
    <xf numFmtId="165" fontId="29" fillId="0" borderId="0" xfId="1" applyNumberFormat="1" applyFont="1"/>
    <xf numFmtId="165" fontId="29" fillId="0" borderId="2" xfId="1" applyNumberFormat="1" applyFont="1" applyBorder="1"/>
    <xf numFmtId="165" fontId="29" fillId="0" borderId="0" xfId="1" applyNumberFormat="1" applyFont="1" applyFill="1"/>
    <xf numFmtId="165" fontId="26" fillId="0" borderId="2" xfId="1" applyNumberFormat="1" applyFont="1" applyBorder="1"/>
    <xf numFmtId="9" fontId="29" fillId="0" borderId="0" xfId="5" applyFont="1" applyBorder="1"/>
    <xf numFmtId="9" fontId="29" fillId="0" borderId="0" xfId="5" applyFont="1"/>
    <xf numFmtId="171" fontId="22" fillId="0" borderId="0" xfId="1" applyNumberFormat="1" applyFont="1"/>
    <xf numFmtId="171" fontId="29" fillId="0" borderId="0" xfId="1" applyNumberFormat="1" applyFont="1"/>
    <xf numFmtId="10" fontId="29" fillId="0" borderId="0" xfId="1" applyNumberFormat="1" applyFont="1"/>
    <xf numFmtId="165" fontId="22" fillId="0" borderId="3" xfId="1" applyNumberFormat="1" applyFont="1" applyFill="1" applyBorder="1" applyAlignment="1">
      <alignment horizontal="center"/>
    </xf>
    <xf numFmtId="165" fontId="22" fillId="0" borderId="0" xfId="1" applyNumberFormat="1" applyFont="1" applyBorder="1" applyAlignment="1">
      <alignment horizontal="center"/>
    </xf>
    <xf numFmtId="0" fontId="30" fillId="0" borderId="0" xfId="0" applyFont="1" applyAlignment="1">
      <alignment horizontal="right"/>
    </xf>
    <xf numFmtId="0" fontId="22" fillId="0" borderId="0" xfId="0" applyFont="1"/>
    <xf numFmtId="0" fontId="22" fillId="0" borderId="0" xfId="0" applyFont="1" applyAlignment="1">
      <alignment horizontal="right"/>
    </xf>
    <xf numFmtId="0" fontId="31" fillId="0" borderId="0" xfId="2" applyFont="1" applyAlignment="1">
      <alignment horizontal="right"/>
    </xf>
    <xf numFmtId="167" fontId="26" fillId="0" borderId="0" xfId="5" applyNumberFormat="1" applyFont="1" applyBorder="1" applyAlignment="1">
      <alignment horizontal="right"/>
    </xf>
    <xf numFmtId="0" fontId="33" fillId="0" borderId="0" xfId="0" applyFont="1"/>
    <xf numFmtId="0" fontId="33" fillId="0" borderId="0" xfId="0" applyFont="1" applyAlignment="1">
      <alignment vertical="center"/>
    </xf>
    <xf numFmtId="3" fontId="33" fillId="0" borderId="0" xfId="0" applyNumberFormat="1" applyFont="1" applyAlignment="1">
      <alignment vertical="center"/>
    </xf>
    <xf numFmtId="164" fontId="33" fillId="0" borderId="0" xfId="0" applyNumberFormat="1" applyFont="1" applyAlignment="1">
      <alignment vertical="center"/>
    </xf>
    <xf numFmtId="0" fontId="34" fillId="7" borderId="0" xfId="0" applyFont="1" applyFill="1" applyAlignment="1">
      <alignment vertical="center"/>
    </xf>
    <xf numFmtId="0" fontId="33" fillId="8" borderId="0" xfId="0" applyFont="1" applyFill="1" applyAlignment="1">
      <alignment vertical="center"/>
    </xf>
    <xf numFmtId="0" fontId="34" fillId="8" borderId="0" xfId="0" applyFont="1" applyFill="1" applyAlignment="1">
      <alignment vertical="center"/>
    </xf>
    <xf numFmtId="0" fontId="34" fillId="8" borderId="0" xfId="0" applyFont="1" applyFill="1" applyAlignment="1">
      <alignment horizontal="centerContinuous" vertical="center"/>
    </xf>
    <xf numFmtId="0" fontId="33" fillId="8" borderId="0" xfId="0" applyFont="1" applyFill="1" applyAlignment="1">
      <alignment horizontal="centerContinuous" vertical="center"/>
    </xf>
    <xf numFmtId="0" fontId="34" fillId="8" borderId="0" xfId="0" applyFont="1" applyFill="1" applyAlignment="1">
      <alignment horizontal="centerContinuous"/>
    </xf>
    <xf numFmtId="0" fontId="34" fillId="8" borderId="1" xfId="0" applyFont="1" applyFill="1" applyBorder="1" applyAlignment="1">
      <alignment horizontal="right" vertical="center"/>
    </xf>
    <xf numFmtId="0" fontId="34" fillId="8" borderId="0" xfId="0" applyFont="1" applyFill="1" applyAlignment="1">
      <alignment horizontal="right" vertical="center"/>
    </xf>
    <xf numFmtId="0" fontId="33" fillId="8" borderId="0" xfId="0" applyFont="1" applyFill="1" applyAlignment="1">
      <alignment horizontal="right" vertical="center"/>
    </xf>
    <xf numFmtId="0" fontId="33" fillId="8" borderId="1" xfId="0" applyFont="1" applyFill="1" applyBorder="1" applyAlignment="1">
      <alignment horizontal="right"/>
    </xf>
    <xf numFmtId="0" fontId="35" fillId="8" borderId="0" xfId="0" applyFont="1" applyFill="1" applyAlignment="1">
      <alignment horizontal="right" vertical="center"/>
    </xf>
    <xf numFmtId="0" fontId="33" fillId="8" borderId="0" xfId="0" applyFont="1" applyFill="1" applyAlignment="1">
      <alignment horizontal="right"/>
    </xf>
    <xf numFmtId="165" fontId="5" fillId="8" borderId="0" xfId="1" applyNumberFormat="1" applyFont="1" applyFill="1"/>
    <xf numFmtId="165" fontId="6" fillId="8" borderId="0" xfId="1" applyNumberFormat="1" applyFont="1" applyFill="1"/>
    <xf numFmtId="165" fontId="6" fillId="8" borderId="0" xfId="1" applyNumberFormat="1" applyFont="1" applyFill="1" applyAlignment="1">
      <alignment horizontal="center"/>
    </xf>
    <xf numFmtId="0" fontId="36" fillId="8" borderId="0" xfId="0" applyFont="1" applyFill="1" applyAlignment="1">
      <alignment vertical="center"/>
    </xf>
    <xf numFmtId="0" fontId="7" fillId="8" borderId="0" xfId="0" applyFont="1" applyFill="1"/>
    <xf numFmtId="0" fontId="1" fillId="0" borderId="1" xfId="0" applyFont="1" applyBorder="1"/>
    <xf numFmtId="0" fontId="34" fillId="7" borderId="0" xfId="0" applyFont="1" applyFill="1"/>
    <xf numFmtId="0" fontId="1" fillId="7" borderId="0" xfId="0" applyFont="1" applyFill="1"/>
    <xf numFmtId="0" fontId="33" fillId="7" borderId="0" xfId="0" applyFont="1" applyFill="1"/>
    <xf numFmtId="0" fontId="34" fillId="7" borderId="6" xfId="0" applyFont="1" applyFill="1" applyBorder="1" applyAlignment="1">
      <alignment vertical="center"/>
    </xf>
    <xf numFmtId="0" fontId="33" fillId="7" borderId="0" xfId="0" applyFont="1" applyFill="1" applyAlignment="1">
      <alignment vertical="center"/>
    </xf>
    <xf numFmtId="0" fontId="10" fillId="7" borderId="0" xfId="0" applyFont="1" applyFill="1"/>
    <xf numFmtId="0" fontId="38" fillId="8" borderId="0" xfId="0" applyFont="1" applyFill="1"/>
    <xf numFmtId="0" fontId="37" fillId="8" borderId="0" xfId="0" applyFont="1" applyFill="1"/>
    <xf numFmtId="0" fontId="38" fillId="8" borderId="0" xfId="2" applyFont="1" applyFill="1"/>
    <xf numFmtId="0" fontId="39" fillId="8" borderId="0" xfId="0" applyFont="1" applyFill="1"/>
    <xf numFmtId="0" fontId="40" fillId="8" borderId="0" xfId="0" applyFont="1" applyFill="1"/>
    <xf numFmtId="167" fontId="42" fillId="0" borderId="0" xfId="5" applyNumberFormat="1" applyFont="1" applyAlignment="1">
      <alignment horizontal="left"/>
    </xf>
    <xf numFmtId="5" fontId="42" fillId="0" borderId="0" xfId="0" applyNumberFormat="1" applyFont="1"/>
    <xf numFmtId="169" fontId="42" fillId="0" borderId="0" xfId="1" applyNumberFormat="1" applyFont="1"/>
    <xf numFmtId="9" fontId="42" fillId="0" borderId="0" xfId="5" applyFont="1"/>
    <xf numFmtId="167" fontId="42" fillId="6" borderId="0" xfId="5" applyNumberFormat="1" applyFont="1" applyFill="1" applyAlignment="1">
      <alignment horizontal="left"/>
    </xf>
    <xf numFmtId="5" fontId="42" fillId="6" borderId="0" xfId="0" applyNumberFormat="1" applyFont="1" applyFill="1"/>
    <xf numFmtId="169" fontId="42" fillId="6" borderId="0" xfId="1" applyNumberFormat="1" applyFont="1" applyFill="1"/>
    <xf numFmtId="9" fontId="42" fillId="6" borderId="0" xfId="5" applyFont="1" applyFill="1"/>
    <xf numFmtId="172" fontId="44" fillId="9" borderId="0" xfId="0" applyNumberFormat="1" applyFont="1" applyFill="1"/>
    <xf numFmtId="172" fontId="45" fillId="9" borderId="0" xfId="0" applyNumberFormat="1" applyFont="1" applyFill="1"/>
    <xf numFmtId="172" fontId="45" fillId="9" borderId="0" xfId="0" applyNumberFormat="1" applyFont="1" applyFill="1" applyAlignment="1">
      <alignment horizontal="center"/>
    </xf>
    <xf numFmtId="172" fontId="48" fillId="0" borderId="0" xfId="0" applyNumberFormat="1" applyFont="1"/>
    <xf numFmtId="172" fontId="46" fillId="9" borderId="0" xfId="0" applyNumberFormat="1" applyFont="1" applyFill="1"/>
    <xf numFmtId="172" fontId="49" fillId="9" borderId="0" xfId="0" applyNumberFormat="1" applyFont="1" applyFill="1"/>
    <xf numFmtId="172" fontId="49" fillId="9" borderId="0" xfId="0" applyNumberFormat="1" applyFont="1" applyFill="1" applyAlignment="1">
      <alignment horizontal="center"/>
    </xf>
    <xf numFmtId="0" fontId="50" fillId="10" borderId="0" xfId="0" applyFont="1" applyFill="1"/>
    <xf numFmtId="0" fontId="51" fillId="12" borderId="0" xfId="0" applyFont="1" applyFill="1"/>
    <xf numFmtId="172" fontId="52" fillId="0" borderId="0" xfId="0" applyNumberFormat="1" applyFont="1"/>
    <xf numFmtId="172" fontId="53" fillId="0" borderId="0" xfId="0" applyNumberFormat="1" applyFont="1"/>
    <xf numFmtId="172" fontId="53" fillId="0" borderId="0" xfId="0" applyNumberFormat="1" applyFont="1" applyAlignment="1">
      <alignment horizontal="center"/>
    </xf>
    <xf numFmtId="172" fontId="53" fillId="0" borderId="0" xfId="0" applyNumberFormat="1" applyFont="1" applyAlignment="1">
      <alignment horizontal="right"/>
    </xf>
    <xf numFmtId="172" fontId="48" fillId="0" borderId="0" xfId="0" applyNumberFormat="1" applyFont="1" applyAlignment="1">
      <alignment horizontal="center"/>
    </xf>
    <xf numFmtId="172" fontId="54" fillId="14" borderId="0" xfId="0" applyNumberFormat="1" applyFont="1" applyFill="1" applyAlignment="1">
      <alignment vertical="center"/>
    </xf>
    <xf numFmtId="0" fontId="55" fillId="14" borderId="0" xfId="0" applyFont="1" applyFill="1" applyAlignment="1">
      <alignment vertical="center"/>
    </xf>
    <xf numFmtId="172" fontId="56" fillId="0" borderId="0" xfId="0" applyNumberFormat="1" applyFont="1"/>
    <xf numFmtId="172" fontId="57" fillId="0" borderId="0" xfId="0" applyNumberFormat="1" applyFont="1"/>
    <xf numFmtId="172" fontId="48" fillId="0" borderId="8" xfId="0" applyNumberFormat="1" applyFont="1" applyBorder="1"/>
    <xf numFmtId="172" fontId="57" fillId="0" borderId="8" xfId="0" applyNumberFormat="1" applyFont="1" applyBorder="1"/>
    <xf numFmtId="172" fontId="57" fillId="0" borderId="8" xfId="0" applyNumberFormat="1" applyFont="1" applyBorder="1" applyAlignment="1">
      <alignment horizontal="center"/>
    </xf>
    <xf numFmtId="167" fontId="48" fillId="0" borderId="8" xfId="0" applyNumberFormat="1" applyFont="1" applyBorder="1"/>
    <xf numFmtId="167" fontId="56" fillId="0" borderId="8" xfId="0" applyNumberFormat="1" applyFont="1" applyBorder="1"/>
    <xf numFmtId="10" fontId="48" fillId="0" borderId="0" xfId="0" applyNumberFormat="1" applyFont="1"/>
    <xf numFmtId="167" fontId="56" fillId="0" borderId="0" xfId="0" applyNumberFormat="1" applyFont="1"/>
    <xf numFmtId="167" fontId="48" fillId="0" borderId="0" xfId="0" applyNumberFormat="1" applyFont="1"/>
    <xf numFmtId="172" fontId="9" fillId="0" borderId="0" xfId="0" applyNumberFormat="1" applyFont="1"/>
    <xf numFmtId="172" fontId="9" fillId="0" borderId="0" xfId="0" applyNumberFormat="1" applyFont="1" applyAlignment="1">
      <alignment horizontal="center"/>
    </xf>
    <xf numFmtId="9" fontId="56" fillId="0" borderId="0" xfId="0" applyNumberFormat="1" applyFont="1" applyAlignment="1">
      <alignment horizontal="center"/>
    </xf>
    <xf numFmtId="0" fontId="54" fillId="14" borderId="0" xfId="0" applyFont="1" applyFill="1" applyAlignment="1">
      <alignment vertical="center"/>
    </xf>
    <xf numFmtId="172" fontId="57" fillId="0" borderId="0" xfId="0" applyNumberFormat="1" applyFont="1" applyAlignment="1">
      <alignment horizontal="center"/>
    </xf>
    <xf numFmtId="172" fontId="58" fillId="0" borderId="0" xfId="0" applyNumberFormat="1" applyFont="1"/>
    <xf numFmtId="169" fontId="48" fillId="0" borderId="0" xfId="0" applyNumberFormat="1" applyFont="1"/>
    <xf numFmtId="9" fontId="58" fillId="0" borderId="0" xfId="0" applyNumberFormat="1" applyFont="1"/>
    <xf numFmtId="172" fontId="57" fillId="0" borderId="9" xfId="0" applyNumberFormat="1" applyFont="1" applyBorder="1"/>
    <xf numFmtId="172" fontId="57" fillId="0" borderId="9" xfId="0" applyNumberFormat="1" applyFont="1" applyBorder="1" applyAlignment="1">
      <alignment horizontal="center"/>
    </xf>
    <xf numFmtId="173" fontId="48" fillId="0" borderId="0" xfId="0" applyNumberFormat="1" applyFont="1"/>
    <xf numFmtId="172" fontId="1" fillId="0" borderId="0" xfId="0" applyNumberFormat="1" applyFont="1"/>
    <xf numFmtId="172" fontId="57" fillId="0" borderId="10" xfId="0" applyNumberFormat="1" applyFont="1" applyBorder="1"/>
    <xf numFmtId="172" fontId="57" fillId="0" borderId="10" xfId="0" applyNumberFormat="1" applyFont="1" applyBorder="1" applyAlignment="1">
      <alignment horizontal="center"/>
    </xf>
    <xf numFmtId="174" fontId="9" fillId="0" borderId="0" xfId="0" applyNumberFormat="1" applyFont="1"/>
    <xf numFmtId="174" fontId="9" fillId="0" borderId="0" xfId="0" applyNumberFormat="1" applyFont="1" applyAlignment="1">
      <alignment horizontal="center"/>
    </xf>
    <xf numFmtId="172" fontId="48" fillId="0" borderId="8" xfId="0" applyNumberFormat="1" applyFont="1" applyBorder="1" applyAlignment="1">
      <alignment horizontal="center"/>
    </xf>
    <xf numFmtId="0" fontId="54" fillId="15" borderId="0" xfId="0" applyFont="1" applyFill="1" applyAlignment="1">
      <alignment vertical="center"/>
    </xf>
    <xf numFmtId="9" fontId="48" fillId="0" borderId="0" xfId="0" applyNumberFormat="1" applyFont="1"/>
    <xf numFmtId="0" fontId="48" fillId="0" borderId="0" xfId="0" applyFont="1" applyAlignment="1">
      <alignment vertical="center"/>
    </xf>
    <xf numFmtId="172" fontId="48" fillId="0" borderId="0" xfId="0" applyNumberFormat="1" applyFont="1" applyAlignment="1">
      <alignment vertical="center"/>
    </xf>
    <xf numFmtId="0" fontId="50" fillId="16" borderId="0" xfId="0" applyFont="1" applyFill="1"/>
    <xf numFmtId="0" fontId="51" fillId="9" borderId="0" xfId="0" applyFont="1" applyFill="1"/>
    <xf numFmtId="0" fontId="55" fillId="18" borderId="0" xfId="0" applyFont="1" applyFill="1" applyAlignment="1">
      <alignment vertical="center"/>
    </xf>
    <xf numFmtId="172" fontId="48" fillId="0" borderId="11" xfId="0" applyNumberFormat="1" applyFont="1" applyBorder="1"/>
    <xf numFmtId="10" fontId="48" fillId="0" borderId="8" xfId="0" applyNumberFormat="1" applyFont="1" applyBorder="1"/>
    <xf numFmtId="9" fontId="56" fillId="0" borderId="8" xfId="0" applyNumberFormat="1" applyFont="1" applyBorder="1"/>
    <xf numFmtId="175" fontId="48" fillId="0" borderId="0" xfId="0" applyNumberFormat="1" applyFont="1"/>
    <xf numFmtId="3" fontId="58" fillId="0" borderId="0" xfId="0" applyNumberFormat="1" applyFont="1"/>
    <xf numFmtId="167" fontId="42" fillId="19" borderId="0" xfId="5" applyNumberFormat="1" applyFont="1" applyFill="1" applyAlignment="1">
      <alignment horizontal="left"/>
    </xf>
    <xf numFmtId="10" fontId="41" fillId="19" borderId="0" xfId="0" applyNumberFormat="1" applyFont="1" applyFill="1" applyAlignment="1">
      <alignment horizontal="right"/>
    </xf>
    <xf numFmtId="0" fontId="59" fillId="3" borderId="0" xfId="3" applyFont="1" applyFill="1"/>
    <xf numFmtId="0" fontId="60" fillId="3" borderId="0" xfId="3" applyFont="1" applyFill="1"/>
    <xf numFmtId="0" fontId="61" fillId="3" borderId="0" xfId="17" applyFont="1" applyFill="1" applyBorder="1"/>
    <xf numFmtId="0" fontId="61" fillId="3" borderId="0" xfId="17" applyFont="1" applyFill="1"/>
    <xf numFmtId="0" fontId="62" fillId="3" borderId="0" xfId="3" applyFont="1" applyFill="1"/>
    <xf numFmtId="39" fontId="33" fillId="0" borderId="0" xfId="0" applyNumberFormat="1" applyFont="1" applyAlignment="1">
      <alignment vertical="center"/>
    </xf>
    <xf numFmtId="2" fontId="38" fillId="8" borderId="0" xfId="0" applyNumberFormat="1" applyFont="1" applyFill="1"/>
    <xf numFmtId="2" fontId="38" fillId="8" borderId="0" xfId="1" applyNumberFormat="1" applyFont="1" applyFill="1"/>
    <xf numFmtId="10" fontId="38" fillId="8" borderId="0" xfId="0" applyNumberFormat="1" applyFont="1" applyFill="1"/>
    <xf numFmtId="2" fontId="41" fillId="19" borderId="0" xfId="0" applyNumberFormat="1" applyFont="1" applyFill="1" applyAlignment="1">
      <alignment horizontal="left"/>
    </xf>
    <xf numFmtId="2" fontId="42" fillId="0" borderId="0" xfId="0" applyNumberFormat="1" applyFont="1"/>
    <xf numFmtId="2" fontId="42" fillId="0" borderId="0" xfId="1" applyNumberFormat="1" applyFont="1"/>
    <xf numFmtId="2" fontId="42" fillId="0" borderId="0" xfId="5" applyNumberFormat="1" applyFont="1"/>
    <xf numFmtId="2" fontId="42" fillId="6" borderId="0" xfId="0" applyNumberFormat="1" applyFont="1" applyFill="1"/>
    <xf numFmtId="2" fontId="42" fillId="6" borderId="0" xfId="1" applyNumberFormat="1" applyFont="1" applyFill="1"/>
    <xf numFmtId="2" fontId="42" fillId="6" borderId="0" xfId="5" applyNumberFormat="1" applyFont="1" applyFill="1"/>
    <xf numFmtId="165" fontId="22" fillId="0" borderId="0" xfId="1" applyNumberFormat="1" applyFont="1" applyFill="1"/>
    <xf numFmtId="165" fontId="22" fillId="0" borderId="0" xfId="1" applyNumberFormat="1" applyFont="1" applyFill="1" applyAlignment="1">
      <alignment horizontal="center"/>
    </xf>
    <xf numFmtId="165" fontId="5" fillId="0" borderId="0" xfId="1" applyNumberFormat="1" applyFont="1" applyFill="1"/>
    <xf numFmtId="165" fontId="6" fillId="0" borderId="0" xfId="1" applyNumberFormat="1" applyFont="1" applyFill="1"/>
    <xf numFmtId="165" fontId="6" fillId="0" borderId="0" xfId="1" applyNumberFormat="1" applyFont="1" applyFill="1" applyAlignment="1">
      <alignment horizontal="center"/>
    </xf>
    <xf numFmtId="2" fontId="41" fillId="0" borderId="0" xfId="0" applyNumberFormat="1" applyFont="1" applyAlignment="1">
      <alignment horizontal="left"/>
    </xf>
    <xf numFmtId="10" fontId="41" fillId="0" borderId="0" xfId="0" applyNumberFormat="1" applyFont="1" applyAlignment="1">
      <alignment horizontal="right"/>
    </xf>
    <xf numFmtId="167" fontId="42" fillId="0" borderId="0" xfId="5" applyNumberFormat="1" applyFont="1" applyFill="1" applyAlignment="1">
      <alignment horizontal="left"/>
    </xf>
    <xf numFmtId="2" fontId="42" fillId="0" borderId="0" xfId="1" applyNumberFormat="1" applyFont="1" applyFill="1"/>
    <xf numFmtId="2" fontId="42" fillId="0" borderId="0" xfId="5" applyNumberFormat="1" applyFont="1" applyFill="1"/>
    <xf numFmtId="2" fontId="22" fillId="0" borderId="0" xfId="0" applyNumberFormat="1" applyFont="1"/>
    <xf numFmtId="0" fontId="41" fillId="0" borderId="0" xfId="0" applyFont="1" applyAlignment="1">
      <alignment vertical="center"/>
    </xf>
    <xf numFmtId="169" fontId="42" fillId="0" borderId="0" xfId="1" applyNumberFormat="1" applyFont="1" applyFill="1"/>
    <xf numFmtId="9" fontId="42" fillId="0" borderId="0" xfId="5" applyFont="1" applyFill="1"/>
    <xf numFmtId="165" fontId="5" fillId="0" borderId="0" xfId="1" applyNumberFormat="1" applyFont="1" applyFill="1" applyBorder="1"/>
    <xf numFmtId="165" fontId="6" fillId="0" borderId="0" xfId="1" applyNumberFormat="1" applyFont="1" applyFill="1" applyBorder="1"/>
    <xf numFmtId="165" fontId="6" fillId="0" borderId="0" xfId="1" applyNumberFormat="1" applyFont="1" applyFill="1" applyBorder="1" applyAlignment="1">
      <alignment horizontal="center"/>
    </xf>
    <xf numFmtId="0" fontId="41" fillId="0" borderId="0" xfId="0" applyFont="1" applyAlignment="1">
      <alignment horizontal="left"/>
    </xf>
    <xf numFmtId="10" fontId="41" fillId="0" borderId="0" xfId="0" applyNumberFormat="1" applyFont="1"/>
    <xf numFmtId="167" fontId="42" fillId="0" borderId="0" xfId="5" applyNumberFormat="1" applyFont="1" applyFill="1" applyBorder="1" applyAlignment="1">
      <alignment horizontal="left"/>
    </xf>
    <xf numFmtId="169" fontId="42" fillId="0" borderId="0" xfId="1" applyNumberFormat="1" applyFont="1" applyFill="1" applyBorder="1"/>
    <xf numFmtId="9" fontId="42" fillId="0" borderId="0" xfId="5" applyFont="1" applyFill="1" applyBorder="1"/>
    <xf numFmtId="4" fontId="41" fillId="19" borderId="0" xfId="0" applyNumberFormat="1" applyFont="1" applyFill="1" applyAlignment="1">
      <alignment horizontal="left"/>
    </xf>
    <xf numFmtId="4" fontId="42" fillId="0" borderId="0" xfId="0" applyNumberFormat="1" applyFont="1"/>
    <xf numFmtId="4" fontId="42" fillId="0" borderId="0" xfId="1" applyNumberFormat="1" applyFont="1"/>
    <xf numFmtId="4" fontId="42" fillId="0" borderId="0" xfId="5" applyNumberFormat="1" applyFont="1"/>
    <xf numFmtId="4" fontId="42" fillId="6" borderId="0" xfId="0" applyNumberFormat="1" applyFont="1" applyFill="1"/>
    <xf numFmtId="4" fontId="42" fillId="6" borderId="0" xfId="1" applyNumberFormat="1" applyFont="1" applyFill="1"/>
    <xf numFmtId="4" fontId="42" fillId="6" borderId="0" xfId="5" applyNumberFormat="1" applyFont="1" applyFill="1"/>
    <xf numFmtId="0" fontId="0" fillId="0" borderId="0" xfId="0" applyAlignment="1">
      <alignment vertical="center" wrapText="1"/>
    </xf>
    <xf numFmtId="0" fontId="0" fillId="4" borderId="0" xfId="0" applyFill="1" applyAlignment="1">
      <alignment vertical="center" wrapText="1"/>
    </xf>
    <xf numFmtId="0" fontId="0" fillId="0" borderId="11" xfId="0" applyBorder="1" applyAlignment="1">
      <alignment horizontal="center" vertical="center" wrapText="1"/>
    </xf>
    <xf numFmtId="0" fontId="43" fillId="0" borderId="11"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0" xfId="0" applyFont="1" applyAlignment="1">
      <alignment horizontal="center" vertical="center" wrapText="1"/>
    </xf>
    <xf numFmtId="171" fontId="41" fillId="0" borderId="0" xfId="0" applyNumberFormat="1" applyFont="1" applyAlignment="1">
      <alignment horizontal="left"/>
    </xf>
    <xf numFmtId="0" fontId="63" fillId="8" borderId="0" xfId="0" applyFont="1" applyFill="1"/>
    <xf numFmtId="10" fontId="33" fillId="7" borderId="0" xfId="0" applyNumberFormat="1" applyFont="1" applyFill="1"/>
    <xf numFmtId="10" fontId="1" fillId="7" borderId="0" xfId="0" applyNumberFormat="1" applyFont="1" applyFill="1"/>
    <xf numFmtId="10" fontId="33" fillId="0" borderId="0" xfId="0" applyNumberFormat="1" applyFont="1"/>
    <xf numFmtId="10" fontId="1" fillId="0" borderId="0" xfId="0" applyNumberFormat="1" applyFont="1"/>
    <xf numFmtId="3" fontId="38" fillId="8" borderId="0" xfId="0" applyNumberFormat="1" applyFont="1" applyFill="1"/>
    <xf numFmtId="3" fontId="38" fillId="8" borderId="7" xfId="0" applyNumberFormat="1" applyFont="1" applyFill="1" applyBorder="1"/>
    <xf numFmtId="0" fontId="64" fillId="7" borderId="0" xfId="0" applyFont="1" applyFill="1"/>
    <xf numFmtId="0" fontId="65" fillId="6" borderId="0" xfId="0" applyFont="1" applyFill="1" applyAlignment="1">
      <alignment wrapText="1"/>
    </xf>
    <xf numFmtId="0" fontId="66" fillId="6" borderId="0" xfId="0" applyFont="1" applyFill="1" applyAlignment="1">
      <alignment wrapText="1"/>
    </xf>
    <xf numFmtId="0" fontId="34" fillId="8" borderId="6" xfId="0" applyFont="1" applyFill="1" applyBorder="1" applyAlignment="1">
      <alignment horizontal="center" vertical="center"/>
    </xf>
    <xf numFmtId="0" fontId="37" fillId="8" borderId="1" xfId="0" applyFont="1" applyFill="1" applyBorder="1" applyAlignment="1">
      <alignment horizontal="center"/>
    </xf>
    <xf numFmtId="0" fontId="1" fillId="8" borderId="1" xfId="0" applyFont="1" applyFill="1" applyBorder="1" applyAlignment="1">
      <alignment horizontal="center"/>
    </xf>
    <xf numFmtId="0" fontId="41" fillId="0" borderId="0" xfId="0" applyFont="1" applyAlignment="1">
      <alignment horizontal="center" vertical="center"/>
    </xf>
    <xf numFmtId="172" fontId="46" fillId="16" borderId="0" xfId="0" applyNumberFormat="1" applyFont="1" applyFill="1" applyAlignment="1">
      <alignment horizontal="center"/>
    </xf>
    <xf numFmtId="0" fontId="17" fillId="17" borderId="0" xfId="0" applyFont="1" applyFill="1"/>
    <xf numFmtId="172" fontId="47" fillId="12" borderId="0" xfId="0" applyNumberFormat="1" applyFont="1" applyFill="1" applyAlignment="1">
      <alignment horizontal="center"/>
    </xf>
    <xf numFmtId="0" fontId="17" fillId="13" borderId="0" xfId="0" applyFont="1" applyFill="1"/>
    <xf numFmtId="172" fontId="46" fillId="10" borderId="0" xfId="0" applyNumberFormat="1" applyFont="1" applyFill="1" applyAlignment="1">
      <alignment horizontal="center"/>
    </xf>
    <xf numFmtId="0" fontId="17" fillId="11" borderId="0" xfId="0" applyFont="1" applyFill="1"/>
    <xf numFmtId="0" fontId="41" fillId="4" borderId="0" xfId="0" applyFont="1" applyFill="1" applyAlignment="1">
      <alignment horizontal="center" vertical="center"/>
    </xf>
    <xf numFmtId="0" fontId="41" fillId="4" borderId="0" xfId="0" applyFont="1" applyFill="1" applyAlignment="1">
      <alignment horizontal="center"/>
    </xf>
    <xf numFmtId="0" fontId="2" fillId="4" borderId="0" xfId="0" applyFont="1" applyFill="1" applyAlignment="1">
      <alignment horizontal="center"/>
    </xf>
    <xf numFmtId="10" fontId="41" fillId="19" borderId="0" xfId="0" applyNumberFormat="1" applyFont="1" applyFill="1"/>
    <xf numFmtId="0" fontId="41" fillId="19" borderId="0" xfId="0" applyFont="1" applyFill="1" applyAlignment="1">
      <alignment horizontal="center"/>
    </xf>
    <xf numFmtId="0" fontId="41" fillId="0" borderId="0" xfId="0" applyFont="1" applyFill="1" applyAlignment="1">
      <alignment horizontal="center"/>
    </xf>
    <xf numFmtId="167" fontId="41" fillId="19" borderId="0" xfId="0" applyNumberFormat="1" applyFont="1" applyFill="1" applyAlignment="1">
      <alignment horizontal="right"/>
    </xf>
    <xf numFmtId="167" fontId="41" fillId="19" borderId="0" xfId="0" applyNumberFormat="1" applyFont="1" applyFill="1"/>
    <xf numFmtId="165" fontId="67" fillId="20" borderId="0" xfId="1" applyNumberFormat="1" applyFont="1" applyFill="1"/>
    <xf numFmtId="165" fontId="67" fillId="20" borderId="0" xfId="1" applyNumberFormat="1" applyFont="1" applyFill="1" applyAlignment="1">
      <alignment horizontal="center"/>
    </xf>
    <xf numFmtId="0" fontId="41" fillId="20" borderId="0" xfId="0" applyFont="1" applyFill="1" applyAlignment="1">
      <alignment vertical="center"/>
    </xf>
    <xf numFmtId="0" fontId="68" fillId="20" borderId="0" xfId="0" applyFont="1" applyFill="1"/>
    <xf numFmtId="165" fontId="7" fillId="20" borderId="0" xfId="1" applyNumberFormat="1" applyFont="1" applyFill="1"/>
    <xf numFmtId="0" fontId="43" fillId="0" borderId="0" xfId="0" applyFont="1" applyAlignment="1">
      <alignment wrapText="1"/>
    </xf>
    <xf numFmtId="0" fontId="0" fillId="0" borderId="0" xfId="0" applyAlignment="1">
      <alignment wrapText="1"/>
    </xf>
    <xf numFmtId="0" fontId="1" fillId="0" borderId="0" xfId="0" applyFont="1" applyBorder="1"/>
  </cellXfs>
  <cellStyles count="18">
    <cellStyle name="Comma" xfId="1" builtinId="3"/>
    <cellStyle name="Comma 2" xfId="13" xr:uid="{9EAFB70D-E4E1-4FAC-8DC8-E659E687024B}"/>
    <cellStyle name="Comma 3" xfId="7" xr:uid="{70B86AE5-ED5B-4789-8C1E-8F445495AAB3}"/>
    <cellStyle name="Currency 2" xfId="10" xr:uid="{CA4BA3B3-958E-450F-91BB-9FB630159FE0}"/>
    <cellStyle name="Currency 3" xfId="15" xr:uid="{C92884E1-FC44-4079-B782-91DCF74C478A}"/>
    <cellStyle name="Hyperlink" xfId="17" builtinId="8"/>
    <cellStyle name="Hyperlink 2 2" xfId="4" xr:uid="{58A849E3-082D-4348-81DA-5976C6A6C49D}"/>
    <cellStyle name="Hyperlink 3" xfId="2" xr:uid="{00000000-0005-0000-0000-000001000000}"/>
    <cellStyle name="Normal" xfId="0" builtinId="0"/>
    <cellStyle name="Normal 2" xfId="9" xr:uid="{07C8C488-490E-47BF-96FB-E46680CD2418}"/>
    <cellStyle name="Normal 2 2" xfId="12" xr:uid="{8220B113-25E9-4DA6-ABBA-D32AE82002C8}"/>
    <cellStyle name="Normal 2 2 2" xfId="3" xr:uid="{FB71A612-6204-49B7-B53E-B5BA019E65B9}"/>
    <cellStyle name="Normal 2 2 3" xfId="14" xr:uid="{5E601A11-3393-4D10-A054-A61DE3F196E2}"/>
    <cellStyle name="Normal 3" xfId="6" xr:uid="{98258688-A8A9-4DB5-9546-E08AF8FC57A3}"/>
    <cellStyle name="Normal 9" xfId="16" xr:uid="{86DB05B2-1522-4632-9031-B0FD2A8A425F}"/>
    <cellStyle name="Percent" xfId="5" builtinId="5"/>
    <cellStyle name="Percent 2" xfId="11" xr:uid="{2381D0AB-7F73-427A-825A-D061DB4EF688}"/>
    <cellStyle name="Percent 3" xfId="8" xr:uid="{0812F129-8B30-43C9-84DA-2727EC79221E}"/>
  </cellStyles>
  <dxfs count="4">
    <dxf>
      <font>
        <color rgb="FF9C0006"/>
      </font>
      <fill>
        <patternFill patternType="solid">
          <fgColor rgb="FFFFC7CE"/>
          <bgColor rgb="FFFFC7CE"/>
        </patternFill>
      </fill>
    </dxf>
    <dxf>
      <font>
        <color rgb="FF006100"/>
      </font>
      <fill>
        <patternFill patternType="none"/>
      </fill>
    </dxf>
    <dxf>
      <font>
        <color rgb="FF9C0006"/>
      </font>
      <fill>
        <patternFill patternType="solid">
          <fgColor rgb="FFFFC7CE"/>
          <bgColor rgb="FFFFC7CE"/>
        </patternFill>
      </fill>
    </dxf>
    <dxf>
      <font>
        <color rgb="FF006100"/>
      </font>
      <fill>
        <patternFill patternType="none"/>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Valuation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Apple</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 Table'!$L$5:$O$5</c:f>
              <c:strCache>
                <c:ptCount val="4"/>
                <c:pt idx="0">
                  <c:v>EV/Sales</c:v>
                </c:pt>
                <c:pt idx="1">
                  <c:v>EV/EBITDA</c:v>
                </c:pt>
                <c:pt idx="2">
                  <c:v>EV/EBIT</c:v>
                </c:pt>
                <c:pt idx="3">
                  <c:v>P/E</c:v>
                </c:pt>
              </c:strCache>
            </c:strRef>
          </c:cat>
          <c:val>
            <c:numRef>
              <c:f>'Comps Table'!$L$7:$O$7</c:f>
              <c:numCache>
                <c:formatCode>0.0\x</c:formatCode>
                <c:ptCount val="4"/>
                <c:pt idx="0">
                  <c:v>8.9926894523508132</c:v>
                </c:pt>
                <c:pt idx="1">
                  <c:v>26.113398237054533</c:v>
                </c:pt>
                <c:pt idx="2">
                  <c:v>28.538958576808209</c:v>
                </c:pt>
                <c:pt idx="3">
                  <c:v>37.29492745583341</c:v>
                </c:pt>
              </c:numCache>
            </c:numRef>
          </c:val>
          <c:extLst>
            <c:ext xmlns:c16="http://schemas.microsoft.com/office/drawing/2014/chart" uri="{C3380CC4-5D6E-409C-BE32-E72D297353CC}">
              <c16:uniqueId val="{00000000-A1B9-4ABF-82C6-A4561B3FB5BC}"/>
            </c:ext>
          </c:extLst>
        </c:ser>
        <c:ser>
          <c:idx val="1"/>
          <c:order val="1"/>
          <c:tx>
            <c:v>Microsoft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 Table'!$L$5:$O$5</c:f>
              <c:strCache>
                <c:ptCount val="4"/>
                <c:pt idx="0">
                  <c:v>EV/Sales</c:v>
                </c:pt>
                <c:pt idx="1">
                  <c:v>EV/EBITDA</c:v>
                </c:pt>
                <c:pt idx="2">
                  <c:v>EV/EBIT</c:v>
                </c:pt>
                <c:pt idx="3">
                  <c:v>P/E</c:v>
                </c:pt>
              </c:strCache>
            </c:strRef>
          </c:cat>
          <c:val>
            <c:numRef>
              <c:f>'Comps Table'!$L$8:$O$8</c:f>
              <c:numCache>
                <c:formatCode>0.0\x</c:formatCode>
                <c:ptCount val="4"/>
                <c:pt idx="0">
                  <c:v>10.293644311453765</c:v>
                </c:pt>
                <c:pt idx="1">
                  <c:v>14.733057551032852</c:v>
                </c:pt>
                <c:pt idx="2">
                  <c:v>17.826093090158043</c:v>
                </c:pt>
                <c:pt idx="3">
                  <c:v>26.88597387874416</c:v>
                </c:pt>
              </c:numCache>
            </c:numRef>
          </c:val>
          <c:extLst>
            <c:ext xmlns:c16="http://schemas.microsoft.com/office/drawing/2014/chart" uri="{C3380CC4-5D6E-409C-BE32-E72D297353CC}">
              <c16:uniqueId val="{00000001-A1B9-4ABF-82C6-A4561B3FB5BC}"/>
            </c:ext>
          </c:extLst>
        </c:ser>
        <c:dLbls>
          <c:dLblPos val="outEnd"/>
          <c:showLegendKey val="0"/>
          <c:showVal val="1"/>
          <c:showCatName val="0"/>
          <c:showSerName val="0"/>
          <c:showPercent val="0"/>
          <c:showBubbleSize val="0"/>
        </c:dLbls>
        <c:gapWidth val="219"/>
        <c:overlap val="-27"/>
        <c:axId val="842150639"/>
        <c:axId val="842173679"/>
      </c:barChart>
      <c:catAx>
        <c:axId val="84215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173679"/>
        <c:crosses val="autoZero"/>
        <c:auto val="1"/>
        <c:lblAlgn val="ctr"/>
        <c:lblOffset val="100"/>
        <c:noMultiLvlLbl val="0"/>
      </c:catAx>
      <c:valAx>
        <c:axId val="842173679"/>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15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'Comps Table'!$D$5:$D$6</c:f>
              <c:strCache>
                <c:ptCount val="2"/>
                <c:pt idx="0">
                  <c:v>Market Cap</c:v>
                </c:pt>
                <c:pt idx="1">
                  <c:v>($M)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5F-42D4-A3CF-6A9666CAD9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05F-42D4-A3CF-6A9666CAD994}"/>
              </c:ext>
            </c:extLst>
          </c:dPt>
          <c:dLbls>
            <c:dLbl>
              <c:idx val="0"/>
              <c:layout>
                <c:manualLayout>
                  <c:x val="0.13051357032831634"/>
                  <c:y val="-4.0117002659725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5F-42D4-A3CF-6A9666CAD994}"/>
                </c:ext>
              </c:extLst>
            </c:dLbl>
            <c:dLbl>
              <c:idx val="1"/>
              <c:layout>
                <c:manualLayout>
                  <c:x val="-0.14501507814257381"/>
                  <c:y val="-6.0175503989588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5F-42D4-A3CF-6A9666CAD9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'Comps Table'!$D$7:$D$8</c:f>
              <c:numCache>
                <c:formatCode>#,##0</c:formatCode>
                <c:ptCount val="2"/>
                <c:pt idx="0">
                  <c:v>3495877.3200000003</c:v>
                </c:pt>
                <c:pt idx="1">
                  <c:v>2869620.6500000004</c:v>
                </c:pt>
              </c:numCache>
            </c:numRef>
          </c:val>
          <c:extLst>
            <c:ext xmlns:c16="http://schemas.microsoft.com/office/drawing/2014/chart" uri="{C3380CC4-5D6E-409C-BE32-E72D297353CC}">
              <c16:uniqueId val="{00000000-E05F-42D4-A3CF-6A9666CAD99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vs Implied Share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'Comps Table'!$C$18</c:f>
              <c:strCache>
                <c:ptCount val="1"/>
                <c:pt idx="0">
                  <c:v>Apple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 Table'!$B$19:$B$20</c:f>
              <c:strCache>
                <c:ptCount val="2"/>
                <c:pt idx="0">
                  <c:v>Current Share Price</c:v>
                </c:pt>
                <c:pt idx="1">
                  <c:v>DCF Implied Share Price</c:v>
                </c:pt>
              </c:strCache>
            </c:strRef>
          </c:cat>
          <c:val>
            <c:numRef>
              <c:f>'Comps Table'!$C$19:$C$20</c:f>
              <c:numCache>
                <c:formatCode>0.00</c:formatCode>
                <c:ptCount val="2"/>
                <c:pt idx="0">
                  <c:v>231.27</c:v>
                </c:pt>
                <c:pt idx="1">
                  <c:v>236.72634287185238</c:v>
                </c:pt>
              </c:numCache>
            </c:numRef>
          </c:val>
          <c:extLst>
            <c:ext xmlns:c16="http://schemas.microsoft.com/office/drawing/2014/chart" uri="{C3380CC4-5D6E-409C-BE32-E72D297353CC}">
              <c16:uniqueId val="{00000000-359E-4C0A-AA30-F72C43C22A7B}"/>
            </c:ext>
          </c:extLst>
        </c:ser>
        <c:ser>
          <c:idx val="1"/>
          <c:order val="1"/>
          <c:tx>
            <c:strRef>
              <c:f>'Comps Table'!$D$18</c:f>
              <c:strCache>
                <c:ptCount val="1"/>
                <c:pt idx="0">
                  <c:v>Microsoft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 Table'!$B$19:$B$20</c:f>
              <c:strCache>
                <c:ptCount val="2"/>
                <c:pt idx="0">
                  <c:v>Current Share Price</c:v>
                </c:pt>
                <c:pt idx="1">
                  <c:v>DCF Implied Share Price</c:v>
                </c:pt>
              </c:strCache>
            </c:strRef>
          </c:cat>
          <c:val>
            <c:numRef>
              <c:f>'Comps Table'!$D$19:$D$20</c:f>
              <c:numCache>
                <c:formatCode>0.00</c:formatCode>
                <c:ptCount val="2"/>
                <c:pt idx="0">
                  <c:v>384.41</c:v>
                </c:pt>
                <c:pt idx="1">
                  <c:v>414.03185394114746</c:v>
                </c:pt>
              </c:numCache>
            </c:numRef>
          </c:val>
          <c:extLst>
            <c:ext xmlns:c16="http://schemas.microsoft.com/office/drawing/2014/chart" uri="{C3380CC4-5D6E-409C-BE32-E72D297353CC}">
              <c16:uniqueId val="{00000001-359E-4C0A-AA30-F72C43C22A7B}"/>
            </c:ext>
          </c:extLst>
        </c:ser>
        <c:dLbls>
          <c:dLblPos val="outEnd"/>
          <c:showLegendKey val="0"/>
          <c:showVal val="1"/>
          <c:showCatName val="0"/>
          <c:showSerName val="0"/>
          <c:showPercent val="0"/>
          <c:showBubbleSize val="0"/>
        </c:dLbls>
        <c:gapWidth val="219"/>
        <c:overlap val="-27"/>
        <c:axId val="1478574095"/>
        <c:axId val="1478571215"/>
      </c:barChart>
      <c:catAx>
        <c:axId val="14785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71215"/>
        <c:crosses val="autoZero"/>
        <c:auto val="1"/>
        <c:lblAlgn val="ctr"/>
        <c:lblOffset val="100"/>
        <c:noMultiLvlLbl val="0"/>
      </c:catAx>
      <c:valAx>
        <c:axId val="1478571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7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DCF</a:t>
            </a:r>
            <a:r>
              <a:rPr lang="en-US" baseline="0"/>
              <a: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Apple</c:v>
          </c:tx>
          <c:spPr>
            <a:solidFill>
              <a:schemeClr val="accent1"/>
            </a:solidFill>
            <a:ln>
              <a:noFill/>
            </a:ln>
            <a:effectLst/>
          </c:spPr>
          <c:invertIfNegative val="0"/>
          <c:cat>
            <c:strRef>
              <c:f>'Comps Table'!$B$21:$B$23</c:f>
              <c:strCache>
                <c:ptCount val="3"/>
                <c:pt idx="0">
                  <c:v>Upside/Downside</c:v>
                </c:pt>
                <c:pt idx="1">
                  <c:v>Terminal Growth Rate </c:v>
                </c:pt>
                <c:pt idx="2">
                  <c:v>Discount Rate</c:v>
                </c:pt>
              </c:strCache>
            </c:strRef>
          </c:cat>
          <c:val>
            <c:numRef>
              <c:f>'Comps Table'!$C$21:$C$23</c:f>
              <c:numCache>
                <c:formatCode>0.00%</c:formatCode>
                <c:ptCount val="3"/>
                <c:pt idx="0">
                  <c:v>2.3592955730757925E-2</c:v>
                </c:pt>
                <c:pt idx="1">
                  <c:v>0.04</c:v>
                </c:pt>
                <c:pt idx="2">
                  <c:v>7.4999999999999997E-2</c:v>
                </c:pt>
              </c:numCache>
            </c:numRef>
          </c:val>
          <c:extLst>
            <c:ext xmlns:c16="http://schemas.microsoft.com/office/drawing/2014/chart" uri="{C3380CC4-5D6E-409C-BE32-E72D297353CC}">
              <c16:uniqueId val="{00000000-79B8-4D6F-9496-7E265610E741}"/>
            </c:ext>
          </c:extLst>
        </c:ser>
        <c:ser>
          <c:idx val="1"/>
          <c:order val="1"/>
          <c:tx>
            <c:v>Microsoft</c:v>
          </c:tx>
          <c:spPr>
            <a:solidFill>
              <a:schemeClr val="accent2"/>
            </a:solidFill>
            <a:ln>
              <a:noFill/>
            </a:ln>
            <a:effectLst/>
          </c:spPr>
          <c:invertIfNegative val="0"/>
          <c:dLbls>
            <c:dLbl>
              <c:idx val="0"/>
              <c:layout>
                <c:manualLayout>
                  <c:x val="1.0778443113772448E-2"/>
                  <c:y val="1.239349240809136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457994247725021"/>
                      <c:h val="8.312552818722567E-2"/>
                    </c:manualLayout>
                  </c15:layout>
                </c:ext>
                <c:ext xmlns:c16="http://schemas.microsoft.com/office/drawing/2014/chart" uri="{C3380CC4-5D6E-409C-BE32-E72D297353CC}">
                  <c16:uniqueId val="{00000003-79B8-4D6F-9496-7E265610E741}"/>
                </c:ext>
              </c:extLst>
            </c:dLbl>
            <c:dLbl>
              <c:idx val="1"/>
              <c:layout>
                <c:manualLayout>
                  <c:x val="7.1857230421046789E-3"/>
                  <c:y val="6.196746204045678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66976283653164"/>
                      <c:h val="0.16574881090783472"/>
                    </c:manualLayout>
                  </c15:layout>
                </c:ext>
                <c:ext xmlns:c16="http://schemas.microsoft.com/office/drawing/2014/chart" uri="{C3380CC4-5D6E-409C-BE32-E72D297353CC}">
                  <c16:uniqueId val="{00000004-79B8-4D6F-9496-7E265610E74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'Comps Table'!$B$21:$B$23</c:f>
              <c:strCache>
                <c:ptCount val="3"/>
                <c:pt idx="0">
                  <c:v>Upside/Downside</c:v>
                </c:pt>
                <c:pt idx="1">
                  <c:v>Terminal Growth Rate </c:v>
                </c:pt>
                <c:pt idx="2">
                  <c:v>Discount Rate</c:v>
                </c:pt>
              </c:strCache>
            </c:strRef>
          </c:cat>
          <c:val>
            <c:numRef>
              <c:f>'Comps Table'!$D$21:$D$23</c:f>
              <c:numCache>
                <c:formatCode>0.00%</c:formatCode>
                <c:ptCount val="3"/>
                <c:pt idx="0">
                  <c:v>7.7057969202537491E-2</c:v>
                </c:pt>
                <c:pt idx="1">
                  <c:v>2.5000000000000001E-2</c:v>
                </c:pt>
                <c:pt idx="2">
                  <c:v>0.09</c:v>
                </c:pt>
              </c:numCache>
            </c:numRef>
          </c:val>
          <c:extLst>
            <c:ext xmlns:c16="http://schemas.microsoft.com/office/drawing/2014/chart" uri="{C3380CC4-5D6E-409C-BE32-E72D297353CC}">
              <c16:uniqueId val="{00000001-79B8-4D6F-9496-7E265610E741}"/>
            </c:ext>
          </c:extLst>
        </c:ser>
        <c:dLbls>
          <c:showLegendKey val="0"/>
          <c:showVal val="0"/>
          <c:showCatName val="0"/>
          <c:showSerName val="0"/>
          <c:showPercent val="0"/>
          <c:showBubbleSize val="0"/>
        </c:dLbls>
        <c:gapWidth val="219"/>
        <c:overlap val="-27"/>
        <c:axId val="1232678319"/>
        <c:axId val="1232675919"/>
      </c:barChart>
      <c:catAx>
        <c:axId val="123267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5919"/>
        <c:crosses val="autoZero"/>
        <c:auto val="1"/>
        <c:lblAlgn val="ctr"/>
        <c:lblOffset val="100"/>
        <c:noMultiLvlLbl val="0"/>
      </c:catAx>
      <c:valAx>
        <c:axId val="1232675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678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sz="1200" b="1"/>
              <a:t>Cash Flow</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spPr>
            <a:solidFill>
              <a:srgbClr val="D9E5F7"/>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bg2"/>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'[1]DCF Model'!$E$19:$I$19</c:f>
              <c:numCache>
                <c:formatCode>General</c:formatCode>
                <c:ptCount val="5"/>
                <c:pt idx="0">
                  <c:v>46203</c:v>
                </c:pt>
                <c:pt idx="1">
                  <c:v>46568</c:v>
                </c:pt>
                <c:pt idx="2">
                  <c:v>46934</c:v>
                </c:pt>
                <c:pt idx="3">
                  <c:v>47299</c:v>
                </c:pt>
                <c:pt idx="4">
                  <c:v>47664</c:v>
                </c:pt>
              </c:numCache>
            </c:numRef>
          </c:cat>
          <c:val>
            <c:numRef>
              <c:f>'[1]DCF Model'!$E$27:$I$27</c:f>
              <c:numCache>
                <c:formatCode>General</c:formatCode>
                <c:ptCount val="5"/>
                <c:pt idx="0">
                  <c:v>105141.57654568669</c:v>
                </c:pt>
                <c:pt idx="1">
                  <c:v>119355.26299473821</c:v>
                </c:pt>
                <c:pt idx="2">
                  <c:v>135819.75255438493</c:v>
                </c:pt>
                <c:pt idx="3">
                  <c:v>154114.92057131467</c:v>
                </c:pt>
                <c:pt idx="4">
                  <c:v>174502.57744229172</c:v>
                </c:pt>
              </c:numCache>
            </c:numRef>
          </c:val>
          <c:extLst>
            <c:ext xmlns:c16="http://schemas.microsoft.com/office/drawing/2014/chart" uri="{C3380CC4-5D6E-409C-BE32-E72D297353CC}">
              <c16:uniqueId val="{00000000-144A-4D55-B44E-5C37A5F40BA6}"/>
            </c:ext>
          </c:extLst>
        </c:ser>
        <c:dLbls>
          <c:showLegendKey val="0"/>
          <c:showVal val="0"/>
          <c:showCatName val="0"/>
          <c:showSerName val="0"/>
          <c:showPercent val="0"/>
          <c:showBubbleSize val="0"/>
        </c:dLbls>
        <c:gapWidth val="50"/>
        <c:overlap val="-27"/>
        <c:axId val="542849320"/>
        <c:axId val="542849648"/>
      </c:barChart>
      <c:dateAx>
        <c:axId val="5428493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542849648"/>
        <c:crosses val="autoZero"/>
        <c:auto val="1"/>
        <c:lblOffset val="100"/>
        <c:baseTimeUnit val="years"/>
        <c:majorUnit val="1"/>
        <c:majorTimeUnit val="years"/>
        <c:minorUnit val="1"/>
        <c:minorTimeUnit val="years"/>
      </c:dateAx>
      <c:valAx>
        <c:axId val="54284964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542849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Open Sans" panose="020B0606030504020204" pitchFamily="34" charset="0"/>
          <a:ea typeface="Open Sans" panose="020B0606030504020204" pitchFamily="34" charset="0"/>
          <a:cs typeface="Open Sans" panose="020B0606030504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Revenue &amp; Gross Profit Margin</a:t>
            </a:r>
          </a:p>
        </c:rich>
      </c:tx>
      <c:layout>
        <c:manualLayout>
          <c:xMode val="edge"/>
          <c:yMode val="edge"/>
          <c:x val="0.25405555555555548"/>
          <c:y val="2.7777777777777776E-2"/>
        </c:manualLayout>
      </c:layout>
      <c:overlay val="0"/>
    </c:title>
    <c:autoTitleDeleted val="0"/>
    <c:plotArea>
      <c:layout>
        <c:manualLayout>
          <c:layoutTarget val="inner"/>
          <c:xMode val="edge"/>
          <c:yMode val="edge"/>
          <c:x val="0.13214371079432063"/>
          <c:y val="0.1056544562364487"/>
          <c:w val="0.7707335929414052"/>
          <c:h val="0.69457796036365027"/>
        </c:manualLayout>
      </c:layout>
      <c:barChart>
        <c:barDir val="col"/>
        <c:grouping val="clustered"/>
        <c:varyColors val="1"/>
        <c:ser>
          <c:idx val="0"/>
          <c:order val="0"/>
          <c:tx>
            <c:strRef>
              <c:f>'[3]Three Statement Model'!$A$110</c:f>
              <c:strCache>
                <c:ptCount val="1"/>
                <c:pt idx="0">
                  <c:v>Revenue</c:v>
                </c:pt>
              </c:strCache>
            </c:strRef>
          </c:tx>
          <c:spPr>
            <a:solidFill>
              <a:srgbClr val="3271D2"/>
            </a:solidFill>
            <a:ln cmpd="sng">
              <a:noFill/>
            </a:ln>
          </c:spPr>
          <c:invertIfNegative val="1"/>
          <c:cat>
            <c:numRef>
              <c:f>'[3]Three Statement Model'!$D$2:$M$2</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'[3]Three Statement Model'!$D$110:$M$110</c:f>
              <c:numCache>
                <c:formatCode>General</c:formatCode>
                <c:ptCount val="10"/>
                <c:pt idx="0">
                  <c:v>0</c:v>
                </c:pt>
                <c:pt idx="1">
                  <c:v>198270</c:v>
                </c:pt>
                <c:pt idx="2">
                  <c:v>211915</c:v>
                </c:pt>
                <c:pt idx="3">
                  <c:v>245122</c:v>
                </c:pt>
                <c:pt idx="4">
                  <c:v>281724</c:v>
                </c:pt>
                <c:pt idx="5">
                  <c:v>316924.61351708934</c:v>
                </c:pt>
                <c:pt idx="6">
                  <c:v>356523.44370006263</c:v>
                </c:pt>
                <c:pt idx="7">
                  <c:v>401070.03522747121</c:v>
                </c:pt>
                <c:pt idx="8">
                  <c:v>451182.59682438028</c:v>
                </c:pt>
                <c:pt idx="9">
                  <c:v>507556.58063992934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938-4939-BEF7-B99B71722219}"/>
            </c:ext>
          </c:extLst>
        </c:ser>
        <c:dLbls>
          <c:showLegendKey val="0"/>
          <c:showVal val="0"/>
          <c:showCatName val="0"/>
          <c:showSerName val="0"/>
          <c:showPercent val="0"/>
          <c:showBubbleSize val="0"/>
        </c:dLbls>
        <c:gapWidth val="100"/>
        <c:axId val="1347515175"/>
        <c:axId val="713451283"/>
      </c:barChart>
      <c:lineChart>
        <c:grouping val="standard"/>
        <c:varyColors val="1"/>
        <c:ser>
          <c:idx val="1"/>
          <c:order val="1"/>
          <c:tx>
            <c:strRef>
              <c:f>'[3]Three Statement Model'!$A$111</c:f>
              <c:strCache>
                <c:ptCount val="1"/>
                <c:pt idx="0">
                  <c:v>Gross Profit Margin (%)</c:v>
                </c:pt>
              </c:strCache>
            </c:strRef>
          </c:tx>
          <c:marker>
            <c:symbol val="none"/>
          </c:marker>
          <c:val>
            <c:numRef>
              <c:f>'[3]Three Statement Model'!$D$111:$M$111</c:f>
              <c:numCache>
                <c:formatCode>General</c:formatCode>
                <c:ptCount val="10"/>
                <c:pt idx="0">
                  <c:v>0</c:v>
                </c:pt>
                <c:pt idx="1">
                  <c:v>0.68401674484289099</c:v>
                </c:pt>
                <c:pt idx="2">
                  <c:v>0.68920085883491022</c:v>
                </c:pt>
                <c:pt idx="3">
                  <c:v>0.69764443827971379</c:v>
                </c:pt>
                <c:pt idx="4">
                  <c:v>0.68823742386165188</c:v>
                </c:pt>
                <c:pt idx="5">
                  <c:v>0.68977486645479169</c:v>
                </c:pt>
                <c:pt idx="6">
                  <c:v>0.68977486645479169</c:v>
                </c:pt>
                <c:pt idx="7">
                  <c:v>0.68977486645479169</c:v>
                </c:pt>
                <c:pt idx="8">
                  <c:v>0.68977486645479158</c:v>
                </c:pt>
                <c:pt idx="9">
                  <c:v>0.68977486645479169</c:v>
                </c:pt>
              </c:numCache>
            </c:numRef>
          </c:val>
          <c:smooth val="0"/>
          <c:extLst>
            <c:ext xmlns:c16="http://schemas.microsoft.com/office/drawing/2014/chart" uri="{C3380CC4-5D6E-409C-BE32-E72D297353CC}">
              <c16:uniqueId val="{00000001-3938-4939-BEF7-B99B71722219}"/>
            </c:ext>
          </c:extLst>
        </c:ser>
        <c:dLbls>
          <c:showLegendKey val="0"/>
          <c:showVal val="0"/>
          <c:showCatName val="0"/>
          <c:showSerName val="0"/>
          <c:showPercent val="0"/>
          <c:showBubbleSize val="0"/>
        </c:dLbls>
        <c:marker val="1"/>
        <c:smooth val="0"/>
        <c:axId val="397133744"/>
        <c:axId val="397132784"/>
      </c:lineChart>
      <c:catAx>
        <c:axId val="1347515175"/>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3451283"/>
        <c:crosses val="autoZero"/>
        <c:auto val="1"/>
        <c:lblAlgn val="ctr"/>
        <c:lblOffset val="100"/>
        <c:noMultiLvlLbl val="1"/>
      </c:catAx>
      <c:valAx>
        <c:axId val="713451283"/>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47515175"/>
        <c:crosses val="autoZero"/>
        <c:crossBetween val="between"/>
        <c:dispUnits>
          <c:builtInUnit val="thousands"/>
          <c:dispUnitsLbl/>
        </c:dispUnits>
      </c:valAx>
      <c:valAx>
        <c:axId val="397132784"/>
        <c:scaling>
          <c:orientation val="minMax"/>
          <c:max val="1"/>
        </c:scaling>
        <c:delete val="0"/>
        <c:axPos val="r"/>
        <c:numFmt formatCode="General" sourceLinked="1"/>
        <c:majorTickMark val="out"/>
        <c:minorTickMark val="none"/>
        <c:tickLblPos val="nextTo"/>
        <c:crossAx val="397133744"/>
        <c:crosses val="max"/>
        <c:crossBetween val="between"/>
      </c:valAx>
      <c:catAx>
        <c:axId val="397133744"/>
        <c:scaling>
          <c:orientation val="minMax"/>
        </c:scaling>
        <c:delete val="1"/>
        <c:axPos val="b"/>
        <c:majorTickMark val="out"/>
        <c:minorTickMark val="none"/>
        <c:tickLblPos val="nextTo"/>
        <c:crossAx val="397132784"/>
        <c:crosses val="autoZero"/>
        <c:auto val="1"/>
        <c:lblAlgn val="ctr"/>
        <c:lblOffset val="100"/>
        <c:noMultiLvlLbl val="0"/>
      </c:catAx>
    </c:plotArea>
    <c:legend>
      <c:legendPos val="b"/>
      <c:overlay val="0"/>
    </c:legend>
    <c:plotVisOnly val="1"/>
    <c:dispBlanksAs val="zero"/>
    <c:showDLblsOverMax val="1"/>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Cash Flow</a:t>
            </a:r>
          </a:p>
        </c:rich>
      </c:tx>
      <c:layout>
        <c:manualLayout>
          <c:xMode val="edge"/>
          <c:yMode val="edge"/>
          <c:x val="0.50641951006124231"/>
          <c:y val="9.0581612081098561E-3"/>
        </c:manualLayout>
      </c:layout>
      <c:overlay val="0"/>
    </c:title>
    <c:autoTitleDeleted val="0"/>
    <c:plotArea>
      <c:layout>
        <c:manualLayout>
          <c:layoutTarget val="inner"/>
          <c:xMode val="edge"/>
          <c:yMode val="edge"/>
          <c:x val="0.20827063283756198"/>
          <c:y val="8.2505991098938719E-2"/>
          <c:w val="0.76735564304461945"/>
          <c:h val="0.68390961999315303"/>
        </c:manualLayout>
      </c:layout>
      <c:barChart>
        <c:barDir val="col"/>
        <c:grouping val="stacked"/>
        <c:varyColors val="1"/>
        <c:ser>
          <c:idx val="1"/>
          <c:order val="0"/>
          <c:tx>
            <c:strRef>
              <c:f>'[3]Three Statement Model'!$A$113</c:f>
              <c:strCache>
                <c:ptCount val="1"/>
                <c:pt idx="0">
                  <c:v>Operating Cash Flow</c:v>
                </c:pt>
              </c:strCache>
            </c:strRef>
          </c:tx>
          <c:spPr>
            <a:solidFill>
              <a:srgbClr val="3271D2"/>
            </a:solidFill>
          </c:spPr>
          <c:invertIfNegative val="1"/>
          <c:cat>
            <c:numRef>
              <c:f>'[3]Three Statement Model'!$D$2:$M$2</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'[3]Three Statement Model'!$D$113:$M$113</c:f>
              <c:numCache>
                <c:formatCode>General</c:formatCode>
                <c:ptCount val="10"/>
                <c:pt idx="0">
                  <c:v>0</c:v>
                </c:pt>
                <c:pt idx="1">
                  <c:v>86752</c:v>
                </c:pt>
                <c:pt idx="2">
                  <c:v>88880</c:v>
                </c:pt>
                <c:pt idx="3">
                  <c:v>108599</c:v>
                </c:pt>
                <c:pt idx="4">
                  <c:v>141335</c:v>
                </c:pt>
                <c:pt idx="5">
                  <c:v>145396.82654568669</c:v>
                </c:pt>
                <c:pt idx="6">
                  <c:v>159610.51299473821</c:v>
                </c:pt>
                <c:pt idx="7">
                  <c:v>176075.00255438493</c:v>
                </c:pt>
                <c:pt idx="8">
                  <c:v>194370.17057131467</c:v>
                </c:pt>
                <c:pt idx="9">
                  <c:v>214757.82744229172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A0B-4D5B-8601-F8EC176BBC0A}"/>
            </c:ext>
          </c:extLst>
        </c:ser>
        <c:ser>
          <c:idx val="0"/>
          <c:order val="1"/>
          <c:tx>
            <c:strRef>
              <c:f>'[3]Three Statement Model'!$A$114</c:f>
              <c:strCache>
                <c:ptCount val="1"/>
                <c:pt idx="0">
                  <c:v>Investing Cash Flow</c:v>
                </c:pt>
              </c:strCache>
            </c:strRef>
          </c:tx>
          <c:spPr>
            <a:solidFill>
              <a:srgbClr val="000C3F"/>
            </a:solidFill>
          </c:spPr>
          <c:invertIfNegative val="0"/>
          <c:val>
            <c:numRef>
              <c:f>'[3]Three Statement Model'!$D$114:$M$114</c:f>
              <c:numCache>
                <c:formatCode>General</c:formatCode>
                <c:ptCount val="10"/>
                <c:pt idx="0">
                  <c:v>0</c:v>
                </c:pt>
                <c:pt idx="1">
                  <c:v>-23886</c:v>
                </c:pt>
                <c:pt idx="2">
                  <c:v>-28107</c:v>
                </c:pt>
                <c:pt idx="3">
                  <c:v>-44477</c:v>
                </c:pt>
                <c:pt idx="4">
                  <c:v>-64551</c:v>
                </c:pt>
                <c:pt idx="5">
                  <c:v>-40255.25</c:v>
                </c:pt>
                <c:pt idx="6">
                  <c:v>-40255.25</c:v>
                </c:pt>
                <c:pt idx="7">
                  <c:v>-40255.25</c:v>
                </c:pt>
                <c:pt idx="8">
                  <c:v>-40255.25</c:v>
                </c:pt>
                <c:pt idx="9">
                  <c:v>-40255.25</c:v>
                </c:pt>
              </c:numCache>
            </c:numRef>
          </c:val>
          <c:extLst>
            <c:ext xmlns:c16="http://schemas.microsoft.com/office/drawing/2014/chart" uri="{C3380CC4-5D6E-409C-BE32-E72D297353CC}">
              <c16:uniqueId val="{00000001-2A0B-4D5B-8601-F8EC176BBC0A}"/>
            </c:ext>
          </c:extLst>
        </c:ser>
        <c:ser>
          <c:idx val="2"/>
          <c:order val="2"/>
          <c:tx>
            <c:strRef>
              <c:f>'[3]Three Statement Model'!$A$115</c:f>
              <c:strCache>
                <c:ptCount val="1"/>
                <c:pt idx="0">
                  <c:v>Financing Cash Flow</c:v>
                </c:pt>
              </c:strCache>
            </c:strRef>
          </c:tx>
          <c:spPr>
            <a:solidFill>
              <a:schemeClr val="accent3">
                <a:lumMod val="60000"/>
                <a:lumOff val="40000"/>
              </a:schemeClr>
            </a:solidFill>
          </c:spPr>
          <c:invertIfNegative val="0"/>
          <c:val>
            <c:numRef>
              <c:f>'[3]Three Statement Model'!$D$115:$M$115</c:f>
              <c:numCache>
                <c:formatCode>General</c:formatCode>
                <c:ptCount val="10"/>
                <c:pt idx="0">
                  <c:v>0</c:v>
                </c:pt>
                <c:pt idx="1">
                  <c:v>-39878</c:v>
                </c:pt>
                <c:pt idx="2">
                  <c:v>-23129</c:v>
                </c:pt>
                <c:pt idx="3">
                  <c:v>-19927</c:v>
                </c:pt>
                <c:pt idx="4">
                  <c:v>-19580</c:v>
                </c:pt>
                <c:pt idx="5">
                  <c:v>-25628.5</c:v>
                </c:pt>
                <c:pt idx="6">
                  <c:v>-25628.5</c:v>
                </c:pt>
                <c:pt idx="7">
                  <c:v>-25628.5</c:v>
                </c:pt>
                <c:pt idx="8">
                  <c:v>-25628.5</c:v>
                </c:pt>
                <c:pt idx="9">
                  <c:v>-25628.5</c:v>
                </c:pt>
              </c:numCache>
            </c:numRef>
          </c:val>
          <c:extLst>
            <c:ext xmlns:c16="http://schemas.microsoft.com/office/drawing/2014/chart" uri="{C3380CC4-5D6E-409C-BE32-E72D297353CC}">
              <c16:uniqueId val="{00000002-2A0B-4D5B-8601-F8EC176BBC0A}"/>
            </c:ext>
          </c:extLst>
        </c:ser>
        <c:dLbls>
          <c:showLegendKey val="0"/>
          <c:showVal val="0"/>
          <c:showCatName val="0"/>
          <c:showSerName val="0"/>
          <c:showPercent val="0"/>
          <c:showBubbleSize val="0"/>
        </c:dLbls>
        <c:gapWidth val="150"/>
        <c:overlap val="100"/>
        <c:axId val="925398482"/>
        <c:axId val="1129587394"/>
      </c:barChart>
      <c:catAx>
        <c:axId val="925398482"/>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low"/>
        <c:txPr>
          <a:bodyPr/>
          <a:lstStyle/>
          <a:p>
            <a:pPr lvl="0">
              <a:defRPr sz="900" b="0" i="0">
                <a:solidFill>
                  <a:srgbClr val="000000"/>
                </a:solidFill>
                <a:latin typeface="+mn-lt"/>
              </a:defRPr>
            </a:pPr>
            <a:endParaRPr lang="en-US"/>
          </a:p>
        </c:txPr>
        <c:crossAx val="1129587394"/>
        <c:crosses val="autoZero"/>
        <c:auto val="1"/>
        <c:lblAlgn val="ctr"/>
        <c:lblOffset val="100"/>
        <c:noMultiLvlLbl val="1"/>
      </c:catAx>
      <c:valAx>
        <c:axId val="1129587394"/>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25398482"/>
        <c:crosses val="autoZero"/>
        <c:crossBetween val="between"/>
      </c:valAx>
    </c:plotArea>
    <c:legend>
      <c:legendPos val="b"/>
      <c:overlay val="0"/>
      <c:txPr>
        <a:bodyPr/>
        <a:lstStyle/>
        <a:p>
          <a:pPr lvl="0" rtl="0">
            <a:defRPr sz="900" b="0" i="0">
              <a:solidFill>
                <a:srgbClr val="1A1A1A"/>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Revenue &amp; Gross Profit Margin</a:t>
            </a:r>
          </a:p>
        </c:rich>
      </c:tx>
      <c:layout>
        <c:manualLayout>
          <c:xMode val="edge"/>
          <c:yMode val="edge"/>
          <c:x val="0.25405555555555548"/>
          <c:y val="2.7777777777777776E-2"/>
        </c:manualLayout>
      </c:layout>
      <c:overlay val="0"/>
    </c:title>
    <c:autoTitleDeleted val="0"/>
    <c:plotArea>
      <c:layout>
        <c:manualLayout>
          <c:layoutTarget val="inner"/>
          <c:xMode val="edge"/>
          <c:yMode val="edge"/>
          <c:x val="0.13214371079432063"/>
          <c:y val="0.1056544562364487"/>
          <c:w val="0.7707335929414052"/>
          <c:h val="0.69457796036365027"/>
        </c:manualLayout>
      </c:layout>
      <c:barChart>
        <c:barDir val="col"/>
        <c:grouping val="clustered"/>
        <c:varyColors val="1"/>
        <c:ser>
          <c:idx val="0"/>
          <c:order val="0"/>
          <c:tx>
            <c:strRef>
              <c:f>'[3]Three Statement Model'!$A$110</c:f>
              <c:strCache>
                <c:ptCount val="1"/>
                <c:pt idx="0">
                  <c:v>Revenue</c:v>
                </c:pt>
              </c:strCache>
            </c:strRef>
          </c:tx>
          <c:spPr>
            <a:solidFill>
              <a:srgbClr val="3271D2"/>
            </a:solidFill>
            <a:ln cmpd="sng">
              <a:noFill/>
            </a:ln>
          </c:spPr>
          <c:invertIfNegative val="1"/>
          <c:cat>
            <c:numRef>
              <c:f>'[3]Three Statement Model'!$D$2:$M$2</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'[3]Three Statement Model'!$D$110:$M$110</c:f>
              <c:numCache>
                <c:formatCode>General</c:formatCode>
                <c:ptCount val="10"/>
                <c:pt idx="0">
                  <c:v>0</c:v>
                </c:pt>
                <c:pt idx="1">
                  <c:v>198270</c:v>
                </c:pt>
                <c:pt idx="2">
                  <c:v>211915</c:v>
                </c:pt>
                <c:pt idx="3">
                  <c:v>245122</c:v>
                </c:pt>
                <c:pt idx="4">
                  <c:v>281724</c:v>
                </c:pt>
                <c:pt idx="5">
                  <c:v>316924.61351708934</c:v>
                </c:pt>
                <c:pt idx="6">
                  <c:v>356523.44370006263</c:v>
                </c:pt>
                <c:pt idx="7">
                  <c:v>401070.03522747121</c:v>
                </c:pt>
                <c:pt idx="8">
                  <c:v>451182.59682438028</c:v>
                </c:pt>
                <c:pt idx="9">
                  <c:v>507556.58063992934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E4D-40B4-9893-522359846BA6}"/>
            </c:ext>
          </c:extLst>
        </c:ser>
        <c:dLbls>
          <c:showLegendKey val="0"/>
          <c:showVal val="0"/>
          <c:showCatName val="0"/>
          <c:showSerName val="0"/>
          <c:showPercent val="0"/>
          <c:showBubbleSize val="0"/>
        </c:dLbls>
        <c:gapWidth val="100"/>
        <c:axId val="1347515175"/>
        <c:axId val="713451283"/>
      </c:barChart>
      <c:lineChart>
        <c:grouping val="standard"/>
        <c:varyColors val="1"/>
        <c:ser>
          <c:idx val="1"/>
          <c:order val="1"/>
          <c:tx>
            <c:strRef>
              <c:f>'[3]Three Statement Model'!$A$111</c:f>
              <c:strCache>
                <c:ptCount val="1"/>
                <c:pt idx="0">
                  <c:v>Gross Profit Margin (%)</c:v>
                </c:pt>
              </c:strCache>
            </c:strRef>
          </c:tx>
          <c:marker>
            <c:symbol val="none"/>
          </c:marker>
          <c:val>
            <c:numRef>
              <c:f>'[3]Three Statement Model'!$D$111:$M$111</c:f>
              <c:numCache>
                <c:formatCode>General</c:formatCode>
                <c:ptCount val="10"/>
                <c:pt idx="0">
                  <c:v>0</c:v>
                </c:pt>
                <c:pt idx="1">
                  <c:v>0.68401674484289099</c:v>
                </c:pt>
                <c:pt idx="2">
                  <c:v>0.68920085883491022</c:v>
                </c:pt>
                <c:pt idx="3">
                  <c:v>0.69764443827971379</c:v>
                </c:pt>
                <c:pt idx="4">
                  <c:v>0.68823742386165188</c:v>
                </c:pt>
                <c:pt idx="5">
                  <c:v>0.68977486645479169</c:v>
                </c:pt>
                <c:pt idx="6">
                  <c:v>0.68977486645479169</c:v>
                </c:pt>
                <c:pt idx="7">
                  <c:v>0.68977486645479169</c:v>
                </c:pt>
                <c:pt idx="8">
                  <c:v>0.68977486645479158</c:v>
                </c:pt>
                <c:pt idx="9">
                  <c:v>0.68977486645479169</c:v>
                </c:pt>
              </c:numCache>
            </c:numRef>
          </c:val>
          <c:smooth val="0"/>
          <c:extLst>
            <c:ext xmlns:c16="http://schemas.microsoft.com/office/drawing/2014/chart" uri="{C3380CC4-5D6E-409C-BE32-E72D297353CC}">
              <c16:uniqueId val="{00000001-3E4D-40B4-9893-522359846BA6}"/>
            </c:ext>
          </c:extLst>
        </c:ser>
        <c:dLbls>
          <c:showLegendKey val="0"/>
          <c:showVal val="0"/>
          <c:showCatName val="0"/>
          <c:showSerName val="0"/>
          <c:showPercent val="0"/>
          <c:showBubbleSize val="0"/>
        </c:dLbls>
        <c:marker val="1"/>
        <c:smooth val="0"/>
        <c:axId val="397133744"/>
        <c:axId val="397132784"/>
      </c:lineChart>
      <c:catAx>
        <c:axId val="1347515175"/>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3451283"/>
        <c:crosses val="autoZero"/>
        <c:auto val="1"/>
        <c:lblAlgn val="ctr"/>
        <c:lblOffset val="100"/>
        <c:noMultiLvlLbl val="1"/>
      </c:catAx>
      <c:valAx>
        <c:axId val="713451283"/>
        <c:scaling>
          <c:orientation val="minMax"/>
        </c:scaling>
        <c:delete val="0"/>
        <c:axPos val="l"/>
        <c:title>
          <c:tx>
            <c:rich>
              <a:bodyPr/>
              <a:lstStyle/>
              <a:p>
                <a:pPr>
                  <a:defRPr/>
                </a:pPr>
                <a:r>
                  <a:rPr lang="en-US"/>
                  <a:t>Millions of US $</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47515175"/>
        <c:crosses val="autoZero"/>
        <c:crossBetween val="between"/>
        <c:dispUnits>
          <c:builtInUnit val="thousands"/>
        </c:dispUnits>
      </c:valAx>
      <c:valAx>
        <c:axId val="397132784"/>
        <c:scaling>
          <c:orientation val="minMax"/>
          <c:max val="1"/>
        </c:scaling>
        <c:delete val="0"/>
        <c:axPos val="r"/>
        <c:numFmt formatCode="General" sourceLinked="1"/>
        <c:majorTickMark val="out"/>
        <c:minorTickMark val="none"/>
        <c:tickLblPos val="nextTo"/>
        <c:crossAx val="397133744"/>
        <c:crosses val="max"/>
        <c:crossBetween val="between"/>
      </c:valAx>
      <c:catAx>
        <c:axId val="397133744"/>
        <c:scaling>
          <c:orientation val="minMax"/>
        </c:scaling>
        <c:delete val="1"/>
        <c:axPos val="b"/>
        <c:majorTickMark val="out"/>
        <c:minorTickMark val="none"/>
        <c:tickLblPos val="nextTo"/>
        <c:crossAx val="397132784"/>
        <c:crosses val="autoZero"/>
        <c:auto val="1"/>
        <c:lblAlgn val="ctr"/>
        <c:lblOffset val="100"/>
        <c:noMultiLvlLbl val="0"/>
      </c:catAx>
    </c:plotArea>
    <c:legend>
      <c:legendPos val="b"/>
      <c:overlay val="0"/>
    </c:legend>
    <c:plotVisOnly val="1"/>
    <c:dispBlanksAs val="zero"/>
    <c:showDLblsOverMax val="1"/>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Cash Flow</a:t>
            </a:r>
          </a:p>
        </c:rich>
      </c:tx>
      <c:layout>
        <c:manualLayout>
          <c:xMode val="edge"/>
          <c:yMode val="edge"/>
          <c:x val="0.50641951006124231"/>
          <c:y val="9.0581612081098561E-3"/>
        </c:manualLayout>
      </c:layout>
      <c:overlay val="0"/>
    </c:title>
    <c:autoTitleDeleted val="0"/>
    <c:plotArea>
      <c:layout>
        <c:manualLayout>
          <c:layoutTarget val="inner"/>
          <c:xMode val="edge"/>
          <c:yMode val="edge"/>
          <c:x val="0.20827063283756198"/>
          <c:y val="8.2505991098938719E-2"/>
          <c:w val="0.76735564304461945"/>
          <c:h val="0.68390961999315303"/>
        </c:manualLayout>
      </c:layout>
      <c:barChart>
        <c:barDir val="col"/>
        <c:grouping val="stacked"/>
        <c:varyColors val="1"/>
        <c:ser>
          <c:idx val="1"/>
          <c:order val="0"/>
          <c:tx>
            <c:strRef>
              <c:f>'[3]Three Statement Model'!$A$113</c:f>
              <c:strCache>
                <c:ptCount val="1"/>
                <c:pt idx="0">
                  <c:v>Operating Cash Flow</c:v>
                </c:pt>
              </c:strCache>
            </c:strRef>
          </c:tx>
          <c:spPr>
            <a:solidFill>
              <a:srgbClr val="3271D2"/>
            </a:solidFill>
          </c:spPr>
          <c:invertIfNegative val="1"/>
          <c:cat>
            <c:numRef>
              <c:f>'[3]Three Statement Model'!$D$2:$M$2</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'[3]Three Statement Model'!$D$113:$M$113</c:f>
              <c:numCache>
                <c:formatCode>General</c:formatCode>
                <c:ptCount val="10"/>
                <c:pt idx="0">
                  <c:v>0</c:v>
                </c:pt>
                <c:pt idx="1">
                  <c:v>86752</c:v>
                </c:pt>
                <c:pt idx="2">
                  <c:v>88880</c:v>
                </c:pt>
                <c:pt idx="3">
                  <c:v>108599</c:v>
                </c:pt>
                <c:pt idx="4">
                  <c:v>141335</c:v>
                </c:pt>
                <c:pt idx="5">
                  <c:v>145396.82654568669</c:v>
                </c:pt>
                <c:pt idx="6">
                  <c:v>159610.51299473821</c:v>
                </c:pt>
                <c:pt idx="7">
                  <c:v>176075.00255438493</c:v>
                </c:pt>
                <c:pt idx="8">
                  <c:v>194370.17057131467</c:v>
                </c:pt>
                <c:pt idx="9">
                  <c:v>214757.82744229172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CDC-46F1-8B29-1EB01E4980AE}"/>
            </c:ext>
          </c:extLst>
        </c:ser>
        <c:ser>
          <c:idx val="0"/>
          <c:order val="1"/>
          <c:tx>
            <c:strRef>
              <c:f>'[3]Three Statement Model'!$A$114</c:f>
              <c:strCache>
                <c:ptCount val="1"/>
                <c:pt idx="0">
                  <c:v>Investing Cash Flow</c:v>
                </c:pt>
              </c:strCache>
            </c:strRef>
          </c:tx>
          <c:spPr>
            <a:solidFill>
              <a:srgbClr val="000C3F"/>
            </a:solidFill>
          </c:spPr>
          <c:invertIfNegative val="0"/>
          <c:val>
            <c:numRef>
              <c:f>'[3]Three Statement Model'!$D$114:$M$114</c:f>
              <c:numCache>
                <c:formatCode>General</c:formatCode>
                <c:ptCount val="10"/>
                <c:pt idx="0">
                  <c:v>0</c:v>
                </c:pt>
                <c:pt idx="1">
                  <c:v>-23886</c:v>
                </c:pt>
                <c:pt idx="2">
                  <c:v>-28107</c:v>
                </c:pt>
                <c:pt idx="3">
                  <c:v>-44477</c:v>
                </c:pt>
                <c:pt idx="4">
                  <c:v>-64551</c:v>
                </c:pt>
                <c:pt idx="5">
                  <c:v>-40255.25</c:v>
                </c:pt>
                <c:pt idx="6">
                  <c:v>-40255.25</c:v>
                </c:pt>
                <c:pt idx="7">
                  <c:v>-40255.25</c:v>
                </c:pt>
                <c:pt idx="8">
                  <c:v>-40255.25</c:v>
                </c:pt>
                <c:pt idx="9">
                  <c:v>-40255.25</c:v>
                </c:pt>
              </c:numCache>
            </c:numRef>
          </c:val>
          <c:extLst>
            <c:ext xmlns:c16="http://schemas.microsoft.com/office/drawing/2014/chart" uri="{C3380CC4-5D6E-409C-BE32-E72D297353CC}">
              <c16:uniqueId val="{00000001-3CDC-46F1-8B29-1EB01E4980AE}"/>
            </c:ext>
          </c:extLst>
        </c:ser>
        <c:ser>
          <c:idx val="2"/>
          <c:order val="2"/>
          <c:tx>
            <c:strRef>
              <c:f>'[3]Three Statement Model'!$A$115</c:f>
              <c:strCache>
                <c:ptCount val="1"/>
                <c:pt idx="0">
                  <c:v>Financing Cash Flow</c:v>
                </c:pt>
              </c:strCache>
            </c:strRef>
          </c:tx>
          <c:spPr>
            <a:solidFill>
              <a:schemeClr val="accent3">
                <a:lumMod val="60000"/>
                <a:lumOff val="40000"/>
              </a:schemeClr>
            </a:solidFill>
          </c:spPr>
          <c:invertIfNegative val="0"/>
          <c:val>
            <c:numRef>
              <c:f>'[3]Three Statement Model'!$D$115:$M$115</c:f>
              <c:numCache>
                <c:formatCode>General</c:formatCode>
                <c:ptCount val="10"/>
                <c:pt idx="0">
                  <c:v>0</c:v>
                </c:pt>
                <c:pt idx="1">
                  <c:v>-39878</c:v>
                </c:pt>
                <c:pt idx="2">
                  <c:v>-23129</c:v>
                </c:pt>
                <c:pt idx="3">
                  <c:v>-19927</c:v>
                </c:pt>
                <c:pt idx="4">
                  <c:v>-19580</c:v>
                </c:pt>
                <c:pt idx="5">
                  <c:v>-25628.5</c:v>
                </c:pt>
                <c:pt idx="6">
                  <c:v>-25628.5</c:v>
                </c:pt>
                <c:pt idx="7">
                  <c:v>-25628.5</c:v>
                </c:pt>
                <c:pt idx="8">
                  <c:v>-25628.5</c:v>
                </c:pt>
                <c:pt idx="9">
                  <c:v>-25628.5</c:v>
                </c:pt>
              </c:numCache>
            </c:numRef>
          </c:val>
          <c:extLst>
            <c:ext xmlns:c16="http://schemas.microsoft.com/office/drawing/2014/chart" uri="{C3380CC4-5D6E-409C-BE32-E72D297353CC}">
              <c16:uniqueId val="{00000002-3CDC-46F1-8B29-1EB01E4980AE}"/>
            </c:ext>
          </c:extLst>
        </c:ser>
        <c:dLbls>
          <c:showLegendKey val="0"/>
          <c:showVal val="0"/>
          <c:showCatName val="0"/>
          <c:showSerName val="0"/>
          <c:showPercent val="0"/>
          <c:showBubbleSize val="0"/>
        </c:dLbls>
        <c:gapWidth val="150"/>
        <c:overlap val="100"/>
        <c:axId val="925398482"/>
        <c:axId val="1129587394"/>
      </c:barChart>
      <c:catAx>
        <c:axId val="925398482"/>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low"/>
        <c:txPr>
          <a:bodyPr/>
          <a:lstStyle/>
          <a:p>
            <a:pPr lvl="0">
              <a:defRPr sz="900" b="0" i="0">
                <a:solidFill>
                  <a:srgbClr val="000000"/>
                </a:solidFill>
                <a:latin typeface="+mn-lt"/>
              </a:defRPr>
            </a:pPr>
            <a:endParaRPr lang="en-US"/>
          </a:p>
        </c:txPr>
        <c:crossAx val="1129587394"/>
        <c:crosses val="autoZero"/>
        <c:auto val="1"/>
        <c:lblAlgn val="ctr"/>
        <c:lblOffset val="100"/>
        <c:noMultiLvlLbl val="1"/>
      </c:catAx>
      <c:valAx>
        <c:axId val="1129587394"/>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25398482"/>
        <c:crosses val="autoZero"/>
        <c:crossBetween val="between"/>
      </c:valAx>
    </c:plotArea>
    <c:legend>
      <c:legendPos val="b"/>
      <c:overlay val="0"/>
      <c:txPr>
        <a:bodyPr/>
        <a:lstStyle/>
        <a:p>
          <a:pPr lvl="0" rtl="0">
            <a:defRPr sz="900" b="0" i="0">
              <a:solidFill>
                <a:srgbClr val="1A1A1A"/>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r>
              <a:rPr lang="en-US" sz="1200" b="1"/>
              <a:t>Cash Flow</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title>
    <c:autoTitleDeleted val="0"/>
    <c:plotArea>
      <c:layout/>
      <c:barChart>
        <c:barDir val="col"/>
        <c:grouping val="clustered"/>
        <c:varyColors val="0"/>
        <c:ser>
          <c:idx val="0"/>
          <c:order val="0"/>
          <c:spPr>
            <a:solidFill>
              <a:srgbClr val="D9E5F7"/>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800" b="0" i="0" u="none" strike="noStrike" kern="1200" baseline="0">
                    <a:solidFill>
                      <a:schemeClr val="bg2"/>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'[2]DCF Model'!$E$19:$I$19</c:f>
              <c:numCache>
                <c:formatCode>General</c:formatCode>
                <c:ptCount val="5"/>
                <c:pt idx="0">
                  <c:v>45930</c:v>
                </c:pt>
                <c:pt idx="1">
                  <c:v>46295</c:v>
                </c:pt>
                <c:pt idx="2">
                  <c:v>46660</c:v>
                </c:pt>
                <c:pt idx="3">
                  <c:v>47026</c:v>
                </c:pt>
                <c:pt idx="4">
                  <c:v>47391</c:v>
                </c:pt>
              </c:numCache>
            </c:numRef>
          </c:cat>
          <c:val>
            <c:numRef>
              <c:f>'[2]DCF Model'!$E$27:$I$27</c:f>
              <c:numCache>
                <c:formatCode>General</c:formatCode>
                <c:ptCount val="5"/>
                <c:pt idx="0">
                  <c:v>119720.30747395518</c:v>
                </c:pt>
                <c:pt idx="1">
                  <c:v>111542.38166154581</c:v>
                </c:pt>
                <c:pt idx="2">
                  <c:v>122076.58541956311</c:v>
                </c:pt>
                <c:pt idx="3">
                  <c:v>133861.55848959187</c:v>
                </c:pt>
                <c:pt idx="4">
                  <c:v>4583308.3082515355</c:v>
                </c:pt>
              </c:numCache>
            </c:numRef>
          </c:val>
          <c:extLst>
            <c:ext xmlns:c16="http://schemas.microsoft.com/office/drawing/2014/chart" uri="{C3380CC4-5D6E-409C-BE32-E72D297353CC}">
              <c16:uniqueId val="{00000000-574D-4064-8822-561D1A453E91}"/>
            </c:ext>
          </c:extLst>
        </c:ser>
        <c:dLbls>
          <c:showLegendKey val="0"/>
          <c:showVal val="0"/>
          <c:showCatName val="0"/>
          <c:showSerName val="0"/>
          <c:showPercent val="0"/>
          <c:showBubbleSize val="0"/>
        </c:dLbls>
        <c:gapWidth val="50"/>
        <c:overlap val="-27"/>
        <c:axId val="542849320"/>
        <c:axId val="542849648"/>
      </c:barChart>
      <c:dateAx>
        <c:axId val="5428493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542849648"/>
        <c:crosses val="autoZero"/>
        <c:auto val="1"/>
        <c:lblOffset val="100"/>
        <c:baseTimeUnit val="years"/>
        <c:majorUnit val="1"/>
        <c:majorTimeUnit val="years"/>
        <c:minorUnit val="1"/>
        <c:minorTimeUnit val="years"/>
      </c:dateAx>
      <c:valAx>
        <c:axId val="54284964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542849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Open Sans" panose="020B0606030504020204" pitchFamily="34" charset="0"/>
          <a:ea typeface="Open Sans" panose="020B0606030504020204" pitchFamily="34" charset="0"/>
          <a:cs typeface="Open Sans" panose="020B06060305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Revenue &amp; Gross Profit Margin</a:t>
            </a:r>
          </a:p>
        </c:rich>
      </c:tx>
      <c:layout>
        <c:manualLayout>
          <c:xMode val="edge"/>
          <c:yMode val="edge"/>
          <c:x val="0.25405555555555548"/>
          <c:y val="2.7777777777777776E-2"/>
        </c:manualLayout>
      </c:layout>
      <c:overlay val="0"/>
    </c:title>
    <c:autoTitleDeleted val="0"/>
    <c:plotArea>
      <c:layout>
        <c:manualLayout>
          <c:layoutTarget val="inner"/>
          <c:xMode val="edge"/>
          <c:yMode val="edge"/>
          <c:x val="0.13214371079432063"/>
          <c:y val="0.1056544562364487"/>
          <c:w val="0.7707335929414052"/>
          <c:h val="0.69457796036365027"/>
        </c:manualLayout>
      </c:layout>
      <c:barChart>
        <c:barDir val="col"/>
        <c:grouping val="clustered"/>
        <c:varyColors val="1"/>
        <c:ser>
          <c:idx val="0"/>
          <c:order val="0"/>
          <c:tx>
            <c:strRef>
              <c:f>'[4]Three Statement Model'!$A$110</c:f>
              <c:strCache>
                <c:ptCount val="1"/>
                <c:pt idx="0">
                  <c:v>Revenue</c:v>
                </c:pt>
              </c:strCache>
            </c:strRef>
          </c:tx>
          <c:spPr>
            <a:solidFill>
              <a:srgbClr val="3271D2"/>
            </a:solidFill>
            <a:ln cmpd="sng">
              <a:noFill/>
            </a:ln>
          </c:spPr>
          <c:invertIfNegative val="1"/>
          <c:cat>
            <c:numRef>
              <c:f>'[4]Three Statement Model'!$D$2:$M$2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'[4]Three Statement Model'!$D$110:$M$110</c:f>
              <c:numCache>
                <c:formatCode>General</c:formatCode>
                <c:ptCount val="10"/>
                <c:pt idx="0">
                  <c:v>274515</c:v>
                </c:pt>
                <c:pt idx="1">
                  <c:v>365817</c:v>
                </c:pt>
                <c:pt idx="2">
                  <c:v>394328</c:v>
                </c:pt>
                <c:pt idx="3">
                  <c:v>383285</c:v>
                </c:pt>
                <c:pt idx="4">
                  <c:v>391035</c:v>
                </c:pt>
                <c:pt idx="5">
                  <c:v>430407.04903881822</c:v>
                </c:pt>
                <c:pt idx="6">
                  <c:v>473743.34231540316</c:v>
                </c:pt>
                <c:pt idx="7">
                  <c:v>521443.02675658028</c:v>
                </c:pt>
                <c:pt idx="8">
                  <c:v>573945.43810188153</c:v>
                </c:pt>
                <c:pt idx="9">
                  <c:v>631734.14738507429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111-45EE-A370-4A0D3F3097D5}"/>
            </c:ext>
          </c:extLst>
        </c:ser>
        <c:dLbls>
          <c:showLegendKey val="0"/>
          <c:showVal val="0"/>
          <c:showCatName val="0"/>
          <c:showSerName val="0"/>
          <c:showPercent val="0"/>
          <c:showBubbleSize val="0"/>
        </c:dLbls>
        <c:gapWidth val="100"/>
        <c:axId val="1347515175"/>
        <c:axId val="713451283"/>
      </c:barChart>
      <c:lineChart>
        <c:grouping val="standard"/>
        <c:varyColors val="1"/>
        <c:ser>
          <c:idx val="1"/>
          <c:order val="1"/>
          <c:tx>
            <c:strRef>
              <c:f>'[4]Three Statement Model'!$A$111</c:f>
              <c:strCache>
                <c:ptCount val="1"/>
                <c:pt idx="0">
                  <c:v>Gross Profit Margin (%)</c:v>
                </c:pt>
              </c:strCache>
            </c:strRef>
          </c:tx>
          <c:marker>
            <c:symbol val="none"/>
          </c:marker>
          <c:val>
            <c:numRef>
              <c:f>'[4]Three Statement Model'!$D$111:$M$111</c:f>
              <c:numCache>
                <c:formatCode>General</c:formatCode>
                <c:ptCount val="10"/>
                <c:pt idx="0">
                  <c:v>0.38233247727810865</c:v>
                </c:pt>
                <c:pt idx="1">
                  <c:v>0.41779359625167778</c:v>
                </c:pt>
                <c:pt idx="2">
                  <c:v>0.43309630561360085</c:v>
                </c:pt>
                <c:pt idx="3">
                  <c:v>0.44131129577207562</c:v>
                </c:pt>
                <c:pt idx="4">
                  <c:v>0.46206349815233932</c:v>
                </c:pt>
                <c:pt idx="5">
                  <c:v>0.42731943461356037</c:v>
                </c:pt>
                <c:pt idx="6">
                  <c:v>0.42731943461356037</c:v>
                </c:pt>
                <c:pt idx="7">
                  <c:v>0.42731943461356031</c:v>
                </c:pt>
                <c:pt idx="8">
                  <c:v>0.42731943461356037</c:v>
                </c:pt>
                <c:pt idx="9">
                  <c:v>0.42731943461356031</c:v>
                </c:pt>
              </c:numCache>
            </c:numRef>
          </c:val>
          <c:smooth val="0"/>
          <c:extLst>
            <c:ext xmlns:c16="http://schemas.microsoft.com/office/drawing/2014/chart" uri="{C3380CC4-5D6E-409C-BE32-E72D297353CC}">
              <c16:uniqueId val="{00000001-C111-45EE-A370-4A0D3F3097D5}"/>
            </c:ext>
          </c:extLst>
        </c:ser>
        <c:dLbls>
          <c:showLegendKey val="0"/>
          <c:showVal val="0"/>
          <c:showCatName val="0"/>
          <c:showSerName val="0"/>
          <c:showPercent val="0"/>
          <c:showBubbleSize val="0"/>
        </c:dLbls>
        <c:marker val="1"/>
        <c:smooth val="0"/>
        <c:axId val="397133744"/>
        <c:axId val="397132784"/>
      </c:lineChart>
      <c:catAx>
        <c:axId val="1347515175"/>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3451283"/>
        <c:crosses val="autoZero"/>
        <c:auto val="1"/>
        <c:lblAlgn val="ctr"/>
        <c:lblOffset val="100"/>
        <c:noMultiLvlLbl val="1"/>
      </c:catAx>
      <c:valAx>
        <c:axId val="713451283"/>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47515175"/>
        <c:crosses val="autoZero"/>
        <c:crossBetween val="between"/>
        <c:dispUnits>
          <c:builtInUnit val="thousands"/>
          <c:dispUnitsLbl/>
        </c:dispUnits>
      </c:valAx>
      <c:valAx>
        <c:axId val="397132784"/>
        <c:scaling>
          <c:orientation val="minMax"/>
          <c:max val="1"/>
        </c:scaling>
        <c:delete val="0"/>
        <c:axPos val="r"/>
        <c:numFmt formatCode="General" sourceLinked="1"/>
        <c:majorTickMark val="out"/>
        <c:minorTickMark val="none"/>
        <c:tickLblPos val="nextTo"/>
        <c:crossAx val="397133744"/>
        <c:crosses val="max"/>
        <c:crossBetween val="between"/>
      </c:valAx>
      <c:catAx>
        <c:axId val="397133744"/>
        <c:scaling>
          <c:orientation val="minMax"/>
        </c:scaling>
        <c:delete val="1"/>
        <c:axPos val="b"/>
        <c:majorTickMark val="out"/>
        <c:minorTickMark val="none"/>
        <c:tickLblPos val="nextTo"/>
        <c:crossAx val="397132784"/>
        <c:crosses val="autoZero"/>
        <c:auto val="1"/>
        <c:lblAlgn val="ctr"/>
        <c:lblOffset val="100"/>
        <c:noMultiLvlLbl val="0"/>
      </c:catAx>
    </c:plotArea>
    <c:legend>
      <c:legendPos val="b"/>
      <c:overlay val="0"/>
    </c:legend>
    <c:plotVisOnly val="1"/>
    <c:dispBlanksAs val="zero"/>
    <c:showDLblsOverMax val="1"/>
  </c:chart>
  <c:spPr>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Cash Flow</a:t>
            </a:r>
          </a:p>
        </c:rich>
      </c:tx>
      <c:layout>
        <c:manualLayout>
          <c:xMode val="edge"/>
          <c:yMode val="edge"/>
          <c:x val="0.50641951006124231"/>
          <c:y val="9.0581612081098561E-3"/>
        </c:manualLayout>
      </c:layout>
      <c:overlay val="0"/>
    </c:title>
    <c:autoTitleDeleted val="0"/>
    <c:plotArea>
      <c:layout>
        <c:manualLayout>
          <c:layoutTarget val="inner"/>
          <c:xMode val="edge"/>
          <c:yMode val="edge"/>
          <c:x val="0.20827063283756198"/>
          <c:y val="8.2505991098938719E-2"/>
          <c:w val="0.76735564304461945"/>
          <c:h val="0.68390961999315303"/>
        </c:manualLayout>
      </c:layout>
      <c:barChart>
        <c:barDir val="col"/>
        <c:grouping val="stacked"/>
        <c:varyColors val="1"/>
        <c:ser>
          <c:idx val="1"/>
          <c:order val="0"/>
          <c:tx>
            <c:strRef>
              <c:f>'[4]Three Statement Model'!$A$113</c:f>
              <c:strCache>
                <c:ptCount val="1"/>
                <c:pt idx="0">
                  <c:v>Operating Cash Flow</c:v>
                </c:pt>
              </c:strCache>
            </c:strRef>
          </c:tx>
          <c:spPr>
            <a:solidFill>
              <a:srgbClr val="3271D2"/>
            </a:solidFill>
          </c:spPr>
          <c:invertIfNegative val="1"/>
          <c:cat>
            <c:numRef>
              <c:f>'[4]Three Statement Model'!$D$2:$M$2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'[4]Three Statement Model'!$D$113:$M$113</c:f>
              <c:numCache>
                <c:formatCode>General</c:formatCode>
                <c:ptCount val="10"/>
                <c:pt idx="0">
                  <c:v>79319</c:v>
                </c:pt>
                <c:pt idx="1">
                  <c:v>80871</c:v>
                </c:pt>
                <c:pt idx="2">
                  <c:v>101120</c:v>
                </c:pt>
                <c:pt idx="3">
                  <c:v>107097</c:v>
                </c:pt>
                <c:pt idx="4">
                  <c:v>94327</c:v>
                </c:pt>
                <c:pt idx="5">
                  <c:v>129621.90747395519</c:v>
                </c:pt>
                <c:pt idx="6">
                  <c:v>121443.98166154581</c:v>
                </c:pt>
                <c:pt idx="7">
                  <c:v>131978.18541956312</c:v>
                </c:pt>
                <c:pt idx="8">
                  <c:v>143763.15848959188</c:v>
                </c:pt>
                <c:pt idx="9">
                  <c:v>156872.9540259825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E34C-4298-95CC-A73B290DA23F}"/>
            </c:ext>
          </c:extLst>
        </c:ser>
        <c:ser>
          <c:idx val="0"/>
          <c:order val="1"/>
          <c:tx>
            <c:strRef>
              <c:f>'[4]Three Statement Model'!$A$114</c:f>
              <c:strCache>
                <c:ptCount val="1"/>
                <c:pt idx="0">
                  <c:v>Investing Cash Flow</c:v>
                </c:pt>
              </c:strCache>
            </c:strRef>
          </c:tx>
          <c:spPr>
            <a:solidFill>
              <a:srgbClr val="000C3F"/>
            </a:solidFill>
          </c:spPr>
          <c:invertIfNegative val="0"/>
          <c:val>
            <c:numRef>
              <c:f>'[4]Three Statement Model'!$D$114:$M$114</c:f>
              <c:numCache>
                <c:formatCode>General</c:formatCode>
                <c:ptCount val="10"/>
                <c:pt idx="0">
                  <c:v>-7309</c:v>
                </c:pt>
                <c:pt idx="1">
                  <c:v>-11085</c:v>
                </c:pt>
                <c:pt idx="2">
                  <c:v>-10708</c:v>
                </c:pt>
                <c:pt idx="3">
                  <c:v>-10959</c:v>
                </c:pt>
                <c:pt idx="4">
                  <c:v>-9447</c:v>
                </c:pt>
                <c:pt idx="5">
                  <c:v>-9901.6</c:v>
                </c:pt>
                <c:pt idx="6">
                  <c:v>-9901.6</c:v>
                </c:pt>
                <c:pt idx="7">
                  <c:v>-9901.6</c:v>
                </c:pt>
                <c:pt idx="8">
                  <c:v>-9901.6</c:v>
                </c:pt>
                <c:pt idx="9">
                  <c:v>-9901.6</c:v>
                </c:pt>
              </c:numCache>
            </c:numRef>
          </c:val>
          <c:extLst>
            <c:ext xmlns:c16="http://schemas.microsoft.com/office/drawing/2014/chart" uri="{C3380CC4-5D6E-409C-BE32-E72D297353CC}">
              <c16:uniqueId val="{00000001-E34C-4298-95CC-A73B290DA23F}"/>
            </c:ext>
          </c:extLst>
        </c:ser>
        <c:ser>
          <c:idx val="2"/>
          <c:order val="2"/>
          <c:tx>
            <c:strRef>
              <c:f>'[4]Three Statement Model'!$A$115</c:f>
              <c:strCache>
                <c:ptCount val="1"/>
                <c:pt idx="0">
                  <c:v>Financing Cash Flow</c:v>
                </c:pt>
              </c:strCache>
            </c:strRef>
          </c:tx>
          <c:spPr>
            <a:solidFill>
              <a:schemeClr val="accent3">
                <a:lumMod val="60000"/>
                <a:lumOff val="40000"/>
              </a:schemeClr>
            </a:solidFill>
          </c:spPr>
          <c:invertIfNegative val="0"/>
          <c:val>
            <c:numRef>
              <c:f>'[4]Three Statement Model'!$D$115:$M$115</c:f>
              <c:numCache>
                <c:formatCode>General</c:formatCode>
                <c:ptCount val="10"/>
                <c:pt idx="0">
                  <c:v>-69859</c:v>
                </c:pt>
                <c:pt idx="1">
                  <c:v>-73306</c:v>
                </c:pt>
                <c:pt idx="2">
                  <c:v>0</c:v>
                </c:pt>
                <c:pt idx="3">
                  <c:v>-87451</c:v>
                </c:pt>
                <c:pt idx="4">
                  <c:v>-100947</c:v>
                </c:pt>
                <c:pt idx="5">
                  <c:v>-84217.600000000006</c:v>
                </c:pt>
                <c:pt idx="6">
                  <c:v>-84217.600000000006</c:v>
                </c:pt>
                <c:pt idx="7">
                  <c:v>-84217.600000000006</c:v>
                </c:pt>
                <c:pt idx="8">
                  <c:v>-84217.600000000006</c:v>
                </c:pt>
                <c:pt idx="9">
                  <c:v>-84217.600000000006</c:v>
                </c:pt>
              </c:numCache>
            </c:numRef>
          </c:val>
          <c:extLst>
            <c:ext xmlns:c16="http://schemas.microsoft.com/office/drawing/2014/chart" uri="{C3380CC4-5D6E-409C-BE32-E72D297353CC}">
              <c16:uniqueId val="{00000002-E34C-4298-95CC-A73B290DA23F}"/>
            </c:ext>
          </c:extLst>
        </c:ser>
        <c:dLbls>
          <c:showLegendKey val="0"/>
          <c:showVal val="0"/>
          <c:showCatName val="0"/>
          <c:showSerName val="0"/>
          <c:showPercent val="0"/>
          <c:showBubbleSize val="0"/>
        </c:dLbls>
        <c:gapWidth val="150"/>
        <c:overlap val="100"/>
        <c:axId val="925398482"/>
        <c:axId val="1129587394"/>
      </c:barChart>
      <c:catAx>
        <c:axId val="925398482"/>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low"/>
        <c:txPr>
          <a:bodyPr/>
          <a:lstStyle/>
          <a:p>
            <a:pPr lvl="0">
              <a:defRPr sz="900" b="0" i="0">
                <a:solidFill>
                  <a:srgbClr val="000000"/>
                </a:solidFill>
                <a:latin typeface="+mn-lt"/>
              </a:defRPr>
            </a:pPr>
            <a:endParaRPr lang="en-US"/>
          </a:p>
        </c:txPr>
        <c:crossAx val="1129587394"/>
        <c:crosses val="autoZero"/>
        <c:auto val="1"/>
        <c:lblAlgn val="ctr"/>
        <c:lblOffset val="100"/>
        <c:noMultiLvlLbl val="1"/>
      </c:catAx>
      <c:valAx>
        <c:axId val="1129587394"/>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25398482"/>
        <c:crosses val="autoZero"/>
        <c:crossBetween val="between"/>
      </c:valAx>
    </c:plotArea>
    <c:legend>
      <c:legendPos val="b"/>
      <c:overlay val="0"/>
      <c:txPr>
        <a:bodyPr/>
        <a:lstStyle/>
        <a:p>
          <a:pPr lvl="0" rtl="0">
            <a:defRPr sz="900" b="0" i="0">
              <a:solidFill>
                <a:srgbClr val="1A1A1A"/>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Revenue &amp; Gross Profit Margin</a:t>
            </a:r>
          </a:p>
        </c:rich>
      </c:tx>
      <c:layout>
        <c:manualLayout>
          <c:xMode val="edge"/>
          <c:yMode val="edge"/>
          <c:x val="0.25405555555555548"/>
          <c:y val="2.7777777777777776E-2"/>
        </c:manualLayout>
      </c:layout>
      <c:overlay val="0"/>
    </c:title>
    <c:autoTitleDeleted val="0"/>
    <c:plotArea>
      <c:layout>
        <c:manualLayout>
          <c:layoutTarget val="inner"/>
          <c:xMode val="edge"/>
          <c:yMode val="edge"/>
          <c:x val="0.13214371079432063"/>
          <c:y val="0.1056544562364487"/>
          <c:w val="0.7707335929414052"/>
          <c:h val="0.69457796036365027"/>
        </c:manualLayout>
      </c:layout>
      <c:barChart>
        <c:barDir val="col"/>
        <c:grouping val="clustered"/>
        <c:varyColors val="1"/>
        <c:ser>
          <c:idx val="0"/>
          <c:order val="0"/>
          <c:tx>
            <c:strRef>
              <c:f>'[4]Three Statement Model'!$A$110</c:f>
              <c:strCache>
                <c:ptCount val="1"/>
                <c:pt idx="0">
                  <c:v>Revenue</c:v>
                </c:pt>
              </c:strCache>
            </c:strRef>
          </c:tx>
          <c:spPr>
            <a:solidFill>
              <a:srgbClr val="3271D2"/>
            </a:solidFill>
            <a:ln cmpd="sng">
              <a:noFill/>
            </a:ln>
          </c:spPr>
          <c:invertIfNegative val="1"/>
          <c:cat>
            <c:numRef>
              <c:f>'[4]Three Statement Model'!$D$2:$M$2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'[4]Three Statement Model'!$D$110:$M$110</c:f>
              <c:numCache>
                <c:formatCode>General</c:formatCode>
                <c:ptCount val="10"/>
                <c:pt idx="0">
                  <c:v>274515</c:v>
                </c:pt>
                <c:pt idx="1">
                  <c:v>365817</c:v>
                </c:pt>
                <c:pt idx="2">
                  <c:v>394328</c:v>
                </c:pt>
                <c:pt idx="3">
                  <c:v>383285</c:v>
                </c:pt>
                <c:pt idx="4">
                  <c:v>391035</c:v>
                </c:pt>
                <c:pt idx="5">
                  <c:v>430407.04903881822</c:v>
                </c:pt>
                <c:pt idx="6">
                  <c:v>473743.34231540316</c:v>
                </c:pt>
                <c:pt idx="7">
                  <c:v>521443.02675658028</c:v>
                </c:pt>
                <c:pt idx="8">
                  <c:v>573945.43810188153</c:v>
                </c:pt>
                <c:pt idx="9">
                  <c:v>631734.14738507429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803-4588-886D-A87F4691E68E}"/>
            </c:ext>
          </c:extLst>
        </c:ser>
        <c:dLbls>
          <c:showLegendKey val="0"/>
          <c:showVal val="0"/>
          <c:showCatName val="0"/>
          <c:showSerName val="0"/>
          <c:showPercent val="0"/>
          <c:showBubbleSize val="0"/>
        </c:dLbls>
        <c:gapWidth val="100"/>
        <c:axId val="1347515175"/>
        <c:axId val="713451283"/>
      </c:barChart>
      <c:lineChart>
        <c:grouping val="standard"/>
        <c:varyColors val="1"/>
        <c:ser>
          <c:idx val="1"/>
          <c:order val="1"/>
          <c:tx>
            <c:strRef>
              <c:f>'[4]Three Statement Model'!$A$111</c:f>
              <c:strCache>
                <c:ptCount val="1"/>
                <c:pt idx="0">
                  <c:v>Gross Profit Margin (%)</c:v>
                </c:pt>
              </c:strCache>
            </c:strRef>
          </c:tx>
          <c:marker>
            <c:symbol val="none"/>
          </c:marker>
          <c:val>
            <c:numRef>
              <c:f>'[4]Three Statement Model'!$D$111:$M$111</c:f>
              <c:numCache>
                <c:formatCode>General</c:formatCode>
                <c:ptCount val="10"/>
                <c:pt idx="0">
                  <c:v>0.38233247727810865</c:v>
                </c:pt>
                <c:pt idx="1">
                  <c:v>0.41779359625167778</c:v>
                </c:pt>
                <c:pt idx="2">
                  <c:v>0.43309630561360085</c:v>
                </c:pt>
                <c:pt idx="3">
                  <c:v>0.44131129577207562</c:v>
                </c:pt>
                <c:pt idx="4">
                  <c:v>0.46206349815233932</c:v>
                </c:pt>
                <c:pt idx="5">
                  <c:v>0.42731943461356037</c:v>
                </c:pt>
                <c:pt idx="6">
                  <c:v>0.42731943461356037</c:v>
                </c:pt>
                <c:pt idx="7">
                  <c:v>0.42731943461356031</c:v>
                </c:pt>
                <c:pt idx="8">
                  <c:v>0.42731943461356037</c:v>
                </c:pt>
                <c:pt idx="9">
                  <c:v>0.42731943461356031</c:v>
                </c:pt>
              </c:numCache>
            </c:numRef>
          </c:val>
          <c:smooth val="0"/>
          <c:extLst>
            <c:ext xmlns:c16="http://schemas.microsoft.com/office/drawing/2014/chart" uri="{C3380CC4-5D6E-409C-BE32-E72D297353CC}">
              <c16:uniqueId val="{00000001-A803-4588-886D-A87F4691E68E}"/>
            </c:ext>
          </c:extLst>
        </c:ser>
        <c:dLbls>
          <c:showLegendKey val="0"/>
          <c:showVal val="0"/>
          <c:showCatName val="0"/>
          <c:showSerName val="0"/>
          <c:showPercent val="0"/>
          <c:showBubbleSize val="0"/>
        </c:dLbls>
        <c:marker val="1"/>
        <c:smooth val="0"/>
        <c:axId val="397133744"/>
        <c:axId val="397132784"/>
      </c:lineChart>
      <c:catAx>
        <c:axId val="1347515175"/>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3451283"/>
        <c:crosses val="autoZero"/>
        <c:auto val="1"/>
        <c:lblAlgn val="ctr"/>
        <c:lblOffset val="100"/>
        <c:noMultiLvlLbl val="1"/>
      </c:catAx>
      <c:valAx>
        <c:axId val="713451283"/>
        <c:scaling>
          <c:orientation val="minMax"/>
        </c:scaling>
        <c:delete val="0"/>
        <c:axPos val="l"/>
        <c:title>
          <c:tx>
            <c:rich>
              <a:bodyPr/>
              <a:lstStyle/>
              <a:p>
                <a:pPr>
                  <a:defRPr/>
                </a:pPr>
                <a:r>
                  <a:rPr lang="en-US"/>
                  <a:t>Millions of US $</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47515175"/>
        <c:crosses val="autoZero"/>
        <c:crossBetween val="between"/>
        <c:dispUnits>
          <c:builtInUnit val="thousands"/>
        </c:dispUnits>
      </c:valAx>
      <c:valAx>
        <c:axId val="397132784"/>
        <c:scaling>
          <c:orientation val="minMax"/>
          <c:max val="1"/>
        </c:scaling>
        <c:delete val="0"/>
        <c:axPos val="r"/>
        <c:numFmt formatCode="General" sourceLinked="1"/>
        <c:majorTickMark val="out"/>
        <c:minorTickMark val="none"/>
        <c:tickLblPos val="nextTo"/>
        <c:crossAx val="397133744"/>
        <c:crosses val="max"/>
        <c:crossBetween val="between"/>
      </c:valAx>
      <c:catAx>
        <c:axId val="397133744"/>
        <c:scaling>
          <c:orientation val="minMax"/>
        </c:scaling>
        <c:delete val="1"/>
        <c:axPos val="b"/>
        <c:majorTickMark val="out"/>
        <c:minorTickMark val="none"/>
        <c:tickLblPos val="nextTo"/>
        <c:crossAx val="397132784"/>
        <c:crosses val="autoZero"/>
        <c:auto val="1"/>
        <c:lblAlgn val="ctr"/>
        <c:lblOffset val="100"/>
        <c:noMultiLvlLbl val="0"/>
      </c:catAx>
    </c:plotArea>
    <c:legend>
      <c:legendPos val="b"/>
      <c:overlay val="0"/>
    </c:legend>
    <c:plotVisOnly val="1"/>
    <c:dispBlanksAs val="zero"/>
    <c:showDLblsOverMax val="1"/>
  </c:chart>
  <c:spPr>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1" i="0">
                <a:solidFill>
                  <a:srgbClr val="757575"/>
                </a:solidFill>
                <a:latin typeface="+mn-lt"/>
              </a:defRPr>
            </a:pPr>
            <a:r>
              <a:rPr lang="en-CA" sz="1400" b="1" i="0">
                <a:solidFill>
                  <a:srgbClr val="757575"/>
                </a:solidFill>
                <a:latin typeface="+mn-lt"/>
              </a:rPr>
              <a:t>Cash Flow</a:t>
            </a:r>
          </a:p>
        </c:rich>
      </c:tx>
      <c:layout>
        <c:manualLayout>
          <c:xMode val="edge"/>
          <c:yMode val="edge"/>
          <c:x val="0.50641951006124231"/>
          <c:y val="9.0581612081098561E-3"/>
        </c:manualLayout>
      </c:layout>
      <c:overlay val="0"/>
    </c:title>
    <c:autoTitleDeleted val="0"/>
    <c:plotArea>
      <c:layout>
        <c:manualLayout>
          <c:layoutTarget val="inner"/>
          <c:xMode val="edge"/>
          <c:yMode val="edge"/>
          <c:x val="0.20827063283756198"/>
          <c:y val="8.2505991098938719E-2"/>
          <c:w val="0.76735564304461945"/>
          <c:h val="0.68390961999315303"/>
        </c:manualLayout>
      </c:layout>
      <c:barChart>
        <c:barDir val="col"/>
        <c:grouping val="stacked"/>
        <c:varyColors val="1"/>
        <c:ser>
          <c:idx val="1"/>
          <c:order val="0"/>
          <c:tx>
            <c:strRef>
              <c:f>'[4]Three Statement Model'!$A$113</c:f>
              <c:strCache>
                <c:ptCount val="1"/>
                <c:pt idx="0">
                  <c:v>Operating Cash Flow</c:v>
                </c:pt>
              </c:strCache>
            </c:strRef>
          </c:tx>
          <c:spPr>
            <a:solidFill>
              <a:srgbClr val="3271D2"/>
            </a:solidFill>
          </c:spPr>
          <c:invertIfNegative val="1"/>
          <c:cat>
            <c:numRef>
              <c:f>'[4]Three Statement Model'!$D$2:$M$2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'[4]Three Statement Model'!$D$113:$M$113</c:f>
              <c:numCache>
                <c:formatCode>General</c:formatCode>
                <c:ptCount val="10"/>
                <c:pt idx="0">
                  <c:v>79319</c:v>
                </c:pt>
                <c:pt idx="1">
                  <c:v>80871</c:v>
                </c:pt>
                <c:pt idx="2">
                  <c:v>101120</c:v>
                </c:pt>
                <c:pt idx="3">
                  <c:v>107097</c:v>
                </c:pt>
                <c:pt idx="4">
                  <c:v>94327</c:v>
                </c:pt>
                <c:pt idx="5">
                  <c:v>129621.90747395519</c:v>
                </c:pt>
                <c:pt idx="6">
                  <c:v>121443.98166154581</c:v>
                </c:pt>
                <c:pt idx="7">
                  <c:v>131978.18541956312</c:v>
                </c:pt>
                <c:pt idx="8">
                  <c:v>143763.15848959188</c:v>
                </c:pt>
                <c:pt idx="9">
                  <c:v>156872.9540259825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D1F-4FEB-A0B3-3408CF7A832C}"/>
            </c:ext>
          </c:extLst>
        </c:ser>
        <c:ser>
          <c:idx val="0"/>
          <c:order val="1"/>
          <c:tx>
            <c:strRef>
              <c:f>'[4]Three Statement Model'!$A$114</c:f>
              <c:strCache>
                <c:ptCount val="1"/>
                <c:pt idx="0">
                  <c:v>Investing Cash Flow</c:v>
                </c:pt>
              </c:strCache>
            </c:strRef>
          </c:tx>
          <c:spPr>
            <a:solidFill>
              <a:srgbClr val="000C3F"/>
            </a:solidFill>
          </c:spPr>
          <c:invertIfNegative val="0"/>
          <c:val>
            <c:numRef>
              <c:f>'[4]Three Statement Model'!$D$114:$M$114</c:f>
              <c:numCache>
                <c:formatCode>General</c:formatCode>
                <c:ptCount val="10"/>
                <c:pt idx="0">
                  <c:v>-7309</c:v>
                </c:pt>
                <c:pt idx="1">
                  <c:v>-11085</c:v>
                </c:pt>
                <c:pt idx="2">
                  <c:v>-10708</c:v>
                </c:pt>
                <c:pt idx="3">
                  <c:v>-10959</c:v>
                </c:pt>
                <c:pt idx="4">
                  <c:v>-9447</c:v>
                </c:pt>
                <c:pt idx="5">
                  <c:v>-9901.6</c:v>
                </c:pt>
                <c:pt idx="6">
                  <c:v>-9901.6</c:v>
                </c:pt>
                <c:pt idx="7">
                  <c:v>-9901.6</c:v>
                </c:pt>
                <c:pt idx="8">
                  <c:v>-9901.6</c:v>
                </c:pt>
                <c:pt idx="9">
                  <c:v>-9901.6</c:v>
                </c:pt>
              </c:numCache>
            </c:numRef>
          </c:val>
          <c:extLst>
            <c:ext xmlns:c16="http://schemas.microsoft.com/office/drawing/2014/chart" uri="{C3380CC4-5D6E-409C-BE32-E72D297353CC}">
              <c16:uniqueId val="{00000001-9D1F-4FEB-A0B3-3408CF7A832C}"/>
            </c:ext>
          </c:extLst>
        </c:ser>
        <c:ser>
          <c:idx val="2"/>
          <c:order val="2"/>
          <c:tx>
            <c:strRef>
              <c:f>'[4]Three Statement Model'!$A$115</c:f>
              <c:strCache>
                <c:ptCount val="1"/>
                <c:pt idx="0">
                  <c:v>Financing Cash Flow</c:v>
                </c:pt>
              </c:strCache>
            </c:strRef>
          </c:tx>
          <c:spPr>
            <a:solidFill>
              <a:schemeClr val="accent3">
                <a:lumMod val="60000"/>
                <a:lumOff val="40000"/>
              </a:schemeClr>
            </a:solidFill>
          </c:spPr>
          <c:invertIfNegative val="0"/>
          <c:val>
            <c:numRef>
              <c:f>'[4]Three Statement Model'!$D$115:$M$115</c:f>
              <c:numCache>
                <c:formatCode>General</c:formatCode>
                <c:ptCount val="10"/>
                <c:pt idx="0">
                  <c:v>-69859</c:v>
                </c:pt>
                <c:pt idx="1">
                  <c:v>-73306</c:v>
                </c:pt>
                <c:pt idx="2">
                  <c:v>0</c:v>
                </c:pt>
                <c:pt idx="3">
                  <c:v>-87451</c:v>
                </c:pt>
                <c:pt idx="4">
                  <c:v>-100947</c:v>
                </c:pt>
                <c:pt idx="5">
                  <c:v>-84217.600000000006</c:v>
                </c:pt>
                <c:pt idx="6">
                  <c:v>-84217.600000000006</c:v>
                </c:pt>
                <c:pt idx="7">
                  <c:v>-84217.600000000006</c:v>
                </c:pt>
                <c:pt idx="8">
                  <c:v>-84217.600000000006</c:v>
                </c:pt>
                <c:pt idx="9">
                  <c:v>-84217.600000000006</c:v>
                </c:pt>
              </c:numCache>
            </c:numRef>
          </c:val>
          <c:extLst>
            <c:ext xmlns:c16="http://schemas.microsoft.com/office/drawing/2014/chart" uri="{C3380CC4-5D6E-409C-BE32-E72D297353CC}">
              <c16:uniqueId val="{00000002-9D1F-4FEB-A0B3-3408CF7A832C}"/>
            </c:ext>
          </c:extLst>
        </c:ser>
        <c:dLbls>
          <c:showLegendKey val="0"/>
          <c:showVal val="0"/>
          <c:showCatName val="0"/>
          <c:showSerName val="0"/>
          <c:showPercent val="0"/>
          <c:showBubbleSize val="0"/>
        </c:dLbls>
        <c:gapWidth val="150"/>
        <c:overlap val="100"/>
        <c:axId val="925398482"/>
        <c:axId val="1129587394"/>
      </c:barChart>
      <c:catAx>
        <c:axId val="925398482"/>
        <c:scaling>
          <c:orientation val="minMax"/>
        </c:scaling>
        <c:delete val="0"/>
        <c:axPos val="b"/>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low"/>
        <c:txPr>
          <a:bodyPr/>
          <a:lstStyle/>
          <a:p>
            <a:pPr lvl="0">
              <a:defRPr sz="900" b="0" i="0">
                <a:solidFill>
                  <a:srgbClr val="000000"/>
                </a:solidFill>
                <a:latin typeface="+mn-lt"/>
              </a:defRPr>
            </a:pPr>
            <a:endParaRPr lang="en-US"/>
          </a:p>
        </c:txPr>
        <c:crossAx val="1129587394"/>
        <c:crosses val="autoZero"/>
        <c:auto val="1"/>
        <c:lblAlgn val="ctr"/>
        <c:lblOffset val="100"/>
        <c:noMultiLvlLbl val="1"/>
      </c:catAx>
      <c:valAx>
        <c:axId val="1129587394"/>
        <c:scaling>
          <c:orientation val="minMax"/>
        </c:scaling>
        <c:delete val="0"/>
        <c:axPos val="l"/>
        <c:title>
          <c:tx>
            <c:rich>
              <a:bodyPr/>
              <a:lstStyle/>
              <a:p>
                <a:pPr lvl="0">
                  <a:defRPr b="0">
                    <a:solidFill>
                      <a:srgbClr val="000000"/>
                    </a:solidFill>
                    <a:latin typeface="+mn-lt"/>
                  </a:defRPr>
                </a:pPr>
                <a:endParaRPr lang="en-CA"/>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25398482"/>
        <c:crosses val="autoZero"/>
        <c:crossBetween val="between"/>
      </c:valAx>
    </c:plotArea>
    <c:legend>
      <c:legendPos val="b"/>
      <c:overlay val="0"/>
      <c:txPr>
        <a:bodyPr/>
        <a:lstStyle/>
        <a:p>
          <a:pPr lvl="0" rtl="0">
            <a:defRPr sz="900" b="0" i="0">
              <a:solidFill>
                <a:srgbClr val="1A1A1A"/>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 Valuation Range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'Valuation Range Chart'!$C$6</c:f>
              <c:strCache>
                <c:ptCount val="1"/>
                <c:pt idx="0">
                  <c:v>Range Start</c:v>
                </c:pt>
              </c:strCache>
            </c:strRef>
          </c:tx>
          <c:spPr>
            <a:solidFill>
              <a:schemeClr val="accent2"/>
            </a:solidFill>
            <a:ln>
              <a:noFill/>
            </a:ln>
            <a:effectLst/>
          </c:spPr>
          <c:invertIfNegative val="0"/>
          <c:dLbls>
            <c:delete val="1"/>
          </c:dLbls>
          <c:cat>
            <c:strRef>
              <c:f>'Valuation Range Chart'!$B$7:$B$11</c:f>
              <c:strCache>
                <c:ptCount val="5"/>
                <c:pt idx="0">
                  <c:v>52-Week Trading Range</c:v>
                </c:pt>
                <c:pt idx="1">
                  <c:v>Comparable Companies</c:v>
                </c:pt>
                <c:pt idx="2">
                  <c:v>DCF - Sensitivity Range</c:v>
                </c:pt>
                <c:pt idx="3">
                  <c:v>DCF - Base Case Range</c:v>
                </c:pt>
                <c:pt idx="4">
                  <c:v>Analyst Target Range</c:v>
                </c:pt>
              </c:strCache>
            </c:strRef>
          </c:cat>
          <c:val>
            <c:numRef>
              <c:f>'Valuation Range Chart'!$C$7:$C$11</c:f>
              <c:numCache>
                <c:formatCode>General</c:formatCode>
                <c:ptCount val="5"/>
                <c:pt idx="0">
                  <c:v>196.86</c:v>
                </c:pt>
                <c:pt idx="1">
                  <c:v>129.59</c:v>
                </c:pt>
                <c:pt idx="2">
                  <c:v>150.41</c:v>
                </c:pt>
                <c:pt idx="3">
                  <c:v>209.36</c:v>
                </c:pt>
                <c:pt idx="4">
                  <c:v>215</c:v>
                </c:pt>
              </c:numCache>
            </c:numRef>
          </c:val>
          <c:extLst>
            <c:ext xmlns:c16="http://schemas.microsoft.com/office/drawing/2014/chart" uri="{C3380CC4-5D6E-409C-BE32-E72D297353CC}">
              <c16:uniqueId val="{00000000-F39E-4FB2-9CF6-A0C068FC402B}"/>
            </c:ext>
          </c:extLst>
        </c:ser>
        <c:ser>
          <c:idx val="1"/>
          <c:order val="1"/>
          <c:tx>
            <c:strRef>
              <c:f>'Valuation Range Chart'!$D$6</c:f>
              <c:strCache>
                <c:ptCount val="1"/>
                <c:pt idx="0">
                  <c:v>Low</c:v>
                </c:pt>
              </c:strCache>
            </c:strRef>
          </c:tx>
          <c:spPr>
            <a:solidFill>
              <a:schemeClr val="accent4"/>
            </a:solidFill>
            <a:ln>
              <a:noFill/>
            </a:ln>
            <a:effectLst/>
          </c:spPr>
          <c:invertIfNegative val="0"/>
          <c:dLbls>
            <c:delete val="1"/>
          </c:dLbls>
          <c:cat>
            <c:strRef>
              <c:f>'Valuation Range Chart'!$B$7:$B$11</c:f>
              <c:strCache>
                <c:ptCount val="5"/>
                <c:pt idx="0">
                  <c:v>52-Week Trading Range</c:v>
                </c:pt>
                <c:pt idx="1">
                  <c:v>Comparable Companies</c:v>
                </c:pt>
                <c:pt idx="2">
                  <c:v>DCF - Sensitivity Range</c:v>
                </c:pt>
                <c:pt idx="3">
                  <c:v>DCF - Base Case Range</c:v>
                </c:pt>
                <c:pt idx="4">
                  <c:v>Analyst Target Range</c:v>
                </c:pt>
              </c:strCache>
            </c:strRef>
          </c:cat>
          <c:val>
            <c:numRef>
              <c:f>'Valuation Range Chart'!$D$7:$D$11</c:f>
              <c:numCache>
                <c:formatCode>General</c:formatCode>
                <c:ptCount val="5"/>
                <c:pt idx="0">
                  <c:v>196.86</c:v>
                </c:pt>
                <c:pt idx="1">
                  <c:v>129.59</c:v>
                </c:pt>
                <c:pt idx="2">
                  <c:v>150.41</c:v>
                </c:pt>
                <c:pt idx="3">
                  <c:v>209.36</c:v>
                </c:pt>
                <c:pt idx="4">
                  <c:v>215</c:v>
                </c:pt>
              </c:numCache>
            </c:numRef>
          </c:val>
          <c:extLst>
            <c:ext xmlns:c16="http://schemas.microsoft.com/office/drawing/2014/chart" uri="{C3380CC4-5D6E-409C-BE32-E72D297353CC}">
              <c16:uniqueId val="{00000001-F39E-4FB2-9CF6-A0C068FC402B}"/>
            </c:ext>
          </c:extLst>
        </c:ser>
        <c:ser>
          <c:idx val="2"/>
          <c:order val="2"/>
          <c:tx>
            <c:strRef>
              <c:f>'Valuation Range Chart'!$E$6</c:f>
              <c:strCache>
                <c:ptCount val="1"/>
                <c:pt idx="0">
                  <c:v>High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Range Chart'!$B$7:$B$11</c:f>
              <c:strCache>
                <c:ptCount val="5"/>
                <c:pt idx="0">
                  <c:v>52-Week Trading Range</c:v>
                </c:pt>
                <c:pt idx="1">
                  <c:v>Comparable Companies</c:v>
                </c:pt>
                <c:pt idx="2">
                  <c:v>DCF - Sensitivity Range</c:v>
                </c:pt>
                <c:pt idx="3">
                  <c:v>DCF - Base Case Range</c:v>
                </c:pt>
                <c:pt idx="4">
                  <c:v>Analyst Target Range</c:v>
                </c:pt>
              </c:strCache>
            </c:strRef>
          </c:cat>
          <c:val>
            <c:numRef>
              <c:f>'Valuation Range Chart'!$E$7:$E$11</c:f>
              <c:numCache>
                <c:formatCode>General</c:formatCode>
                <c:ptCount val="5"/>
                <c:pt idx="0">
                  <c:v>317.39999999999998</c:v>
                </c:pt>
                <c:pt idx="1">
                  <c:v>265.08999999999997</c:v>
                </c:pt>
                <c:pt idx="2">
                  <c:v>259.18</c:v>
                </c:pt>
                <c:pt idx="3">
                  <c:v>241.52</c:v>
                </c:pt>
                <c:pt idx="4">
                  <c:v>400</c:v>
                </c:pt>
              </c:numCache>
            </c:numRef>
          </c:val>
          <c:extLst>
            <c:ext xmlns:c16="http://schemas.microsoft.com/office/drawing/2014/chart" uri="{C3380CC4-5D6E-409C-BE32-E72D297353CC}">
              <c16:uniqueId val="{00000002-F39E-4FB2-9CF6-A0C068FC402B}"/>
            </c:ext>
          </c:extLst>
        </c:ser>
        <c:ser>
          <c:idx val="3"/>
          <c:order val="3"/>
          <c:tx>
            <c:strRef>
              <c:f>'Valuation Range Chart'!$F$6</c:f>
              <c:strCache>
                <c:ptCount val="1"/>
                <c:pt idx="0">
                  <c:v>Range End</c:v>
                </c:pt>
              </c:strCache>
            </c:strRef>
          </c:tx>
          <c:spPr>
            <a:solidFill>
              <a:schemeClr val="accent2">
                <a:lumMod val="60000"/>
              </a:schemeClr>
            </a:solidFill>
            <a:ln>
              <a:noFill/>
            </a:ln>
            <a:effectLst/>
          </c:spPr>
          <c:invertIfNegative val="0"/>
          <c:dLbls>
            <c:delete val="1"/>
          </c:dLbls>
          <c:cat>
            <c:strRef>
              <c:f>'Valuation Range Chart'!$B$7:$B$11</c:f>
              <c:strCache>
                <c:ptCount val="5"/>
                <c:pt idx="0">
                  <c:v>52-Week Trading Range</c:v>
                </c:pt>
                <c:pt idx="1">
                  <c:v>Comparable Companies</c:v>
                </c:pt>
                <c:pt idx="2">
                  <c:v>DCF - Sensitivity Range</c:v>
                </c:pt>
                <c:pt idx="3">
                  <c:v>DCF - Base Case Range</c:v>
                </c:pt>
                <c:pt idx="4">
                  <c:v>Analyst Target Range</c:v>
                </c:pt>
              </c:strCache>
            </c:strRef>
          </c:cat>
          <c:val>
            <c:numRef>
              <c:f>'Valuation Range Chart'!$F$7:$F$11</c:f>
              <c:numCache>
                <c:formatCode>General</c:formatCode>
                <c:ptCount val="5"/>
                <c:pt idx="0">
                  <c:v>317.39999999999998</c:v>
                </c:pt>
                <c:pt idx="1">
                  <c:v>265.08999999999997</c:v>
                </c:pt>
                <c:pt idx="2">
                  <c:v>259.18</c:v>
                </c:pt>
                <c:pt idx="3">
                  <c:v>241.52</c:v>
                </c:pt>
                <c:pt idx="4">
                  <c:v>400</c:v>
                </c:pt>
              </c:numCache>
            </c:numRef>
          </c:val>
          <c:extLst>
            <c:ext xmlns:c16="http://schemas.microsoft.com/office/drawing/2014/chart" uri="{C3380CC4-5D6E-409C-BE32-E72D297353CC}">
              <c16:uniqueId val="{00000003-F39E-4FB2-9CF6-A0C068FC402B}"/>
            </c:ext>
          </c:extLst>
        </c:ser>
        <c:dLbls>
          <c:showLegendKey val="0"/>
          <c:showVal val="1"/>
          <c:showCatName val="0"/>
          <c:showSerName val="0"/>
          <c:showPercent val="0"/>
          <c:showBubbleSize val="0"/>
        </c:dLbls>
        <c:gapWidth val="219"/>
        <c:overlap val="-27"/>
        <c:axId val="333136447"/>
        <c:axId val="333134527"/>
      </c:barChart>
      <c:catAx>
        <c:axId val="33313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34527"/>
        <c:crosses val="autoZero"/>
        <c:auto val="1"/>
        <c:lblAlgn val="ctr"/>
        <c:lblOffset val="100"/>
        <c:noMultiLvlLbl val="0"/>
      </c:catAx>
      <c:valAx>
        <c:axId val="33313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3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Microsoft Valuation Range</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'Valuation Range Chart'!$C$16</c:f>
              <c:strCache>
                <c:ptCount val="1"/>
                <c:pt idx="0">
                  <c:v>Range Start</c:v>
                </c:pt>
              </c:strCache>
            </c:strRef>
          </c:tx>
          <c:spPr>
            <a:solidFill>
              <a:schemeClr val="accent2"/>
            </a:solidFill>
            <a:ln>
              <a:noFill/>
            </a:ln>
            <a:effectLst/>
          </c:spPr>
          <c:invertIfNegative val="0"/>
          <c:cat>
            <c:strRef>
              <c:f>'Valuation Range Chart'!$B$17:$B$21</c:f>
              <c:strCache>
                <c:ptCount val="5"/>
                <c:pt idx="0">
                  <c:v>52-Week Trading Range</c:v>
                </c:pt>
                <c:pt idx="1">
                  <c:v>Comparable Companies</c:v>
                </c:pt>
                <c:pt idx="2">
                  <c:v>DCF - Sensitivity Range</c:v>
                </c:pt>
                <c:pt idx="3">
                  <c:v>DCF - Base Case Range</c:v>
                </c:pt>
                <c:pt idx="4">
                  <c:v>Analyst Target Range</c:v>
                </c:pt>
              </c:strCache>
            </c:strRef>
          </c:cat>
          <c:val>
            <c:numRef>
              <c:f>'Valuation Range Chart'!$C$17:$C$21</c:f>
              <c:numCache>
                <c:formatCode>General</c:formatCode>
                <c:ptCount val="5"/>
                <c:pt idx="0">
                  <c:v>344.79</c:v>
                </c:pt>
                <c:pt idx="1">
                  <c:v>335.31</c:v>
                </c:pt>
                <c:pt idx="2">
                  <c:v>349.23</c:v>
                </c:pt>
                <c:pt idx="3">
                  <c:v>404.93</c:v>
                </c:pt>
                <c:pt idx="4">
                  <c:v>392</c:v>
                </c:pt>
              </c:numCache>
            </c:numRef>
          </c:val>
          <c:extLst>
            <c:ext xmlns:c16="http://schemas.microsoft.com/office/drawing/2014/chart" uri="{C3380CC4-5D6E-409C-BE32-E72D297353CC}">
              <c16:uniqueId val="{00000000-BF87-49CF-AA7D-B075E93A22FC}"/>
            </c:ext>
          </c:extLst>
        </c:ser>
        <c:ser>
          <c:idx val="1"/>
          <c:order val="1"/>
          <c:tx>
            <c:strRef>
              <c:f>'Valuation Range Chart'!$D$16</c:f>
              <c:strCache>
                <c:ptCount val="1"/>
                <c:pt idx="0">
                  <c:v>Low</c:v>
                </c:pt>
              </c:strCache>
            </c:strRef>
          </c:tx>
          <c:spPr>
            <a:solidFill>
              <a:schemeClr val="accent4"/>
            </a:solidFill>
            <a:ln>
              <a:noFill/>
            </a:ln>
            <a:effectLst/>
          </c:spPr>
          <c:invertIfNegative val="0"/>
          <c:cat>
            <c:strRef>
              <c:f>'Valuation Range Chart'!$B$17:$B$21</c:f>
              <c:strCache>
                <c:ptCount val="5"/>
                <c:pt idx="0">
                  <c:v>52-Week Trading Range</c:v>
                </c:pt>
                <c:pt idx="1">
                  <c:v>Comparable Companies</c:v>
                </c:pt>
                <c:pt idx="2">
                  <c:v>DCF - Sensitivity Range</c:v>
                </c:pt>
                <c:pt idx="3">
                  <c:v>DCF - Base Case Range</c:v>
                </c:pt>
                <c:pt idx="4">
                  <c:v>Analyst Target Range</c:v>
                </c:pt>
              </c:strCache>
            </c:strRef>
          </c:cat>
          <c:val>
            <c:numRef>
              <c:f>'Valuation Range Chart'!$D$17:$D$21</c:f>
              <c:numCache>
                <c:formatCode>General</c:formatCode>
                <c:ptCount val="5"/>
                <c:pt idx="0">
                  <c:v>344.79</c:v>
                </c:pt>
                <c:pt idx="1">
                  <c:v>335.31</c:v>
                </c:pt>
                <c:pt idx="2">
                  <c:v>349.23</c:v>
                </c:pt>
                <c:pt idx="3">
                  <c:v>404.93</c:v>
                </c:pt>
                <c:pt idx="4">
                  <c:v>392</c:v>
                </c:pt>
              </c:numCache>
            </c:numRef>
          </c:val>
          <c:extLst>
            <c:ext xmlns:c16="http://schemas.microsoft.com/office/drawing/2014/chart" uri="{C3380CC4-5D6E-409C-BE32-E72D297353CC}">
              <c16:uniqueId val="{00000001-BF87-49CF-AA7D-B075E93A22FC}"/>
            </c:ext>
          </c:extLst>
        </c:ser>
        <c:ser>
          <c:idx val="2"/>
          <c:order val="2"/>
          <c:tx>
            <c:strRef>
              <c:f>'Valuation Range Chart'!$E$16</c:f>
              <c:strCache>
                <c:ptCount val="1"/>
                <c:pt idx="0">
                  <c:v>High</c:v>
                </c:pt>
              </c:strCache>
            </c:strRef>
          </c:tx>
          <c:spPr>
            <a:solidFill>
              <a:schemeClr val="accent6"/>
            </a:solidFill>
            <a:ln>
              <a:noFill/>
            </a:ln>
            <a:effectLst/>
          </c:spPr>
          <c:invertIfNegative val="0"/>
          <c:cat>
            <c:strRef>
              <c:f>'Valuation Range Chart'!$B$17:$B$21</c:f>
              <c:strCache>
                <c:ptCount val="5"/>
                <c:pt idx="0">
                  <c:v>52-Week Trading Range</c:v>
                </c:pt>
                <c:pt idx="1">
                  <c:v>Comparable Companies</c:v>
                </c:pt>
                <c:pt idx="2">
                  <c:v>DCF - Sensitivity Range</c:v>
                </c:pt>
                <c:pt idx="3">
                  <c:v>DCF - Base Case Range</c:v>
                </c:pt>
                <c:pt idx="4">
                  <c:v>Analyst Target Range</c:v>
                </c:pt>
              </c:strCache>
            </c:strRef>
          </c:cat>
          <c:val>
            <c:numRef>
              <c:f>'Valuation Range Chart'!$E$17:$E$21</c:f>
              <c:numCache>
                <c:formatCode>General</c:formatCode>
                <c:ptCount val="5"/>
                <c:pt idx="0">
                  <c:v>555.45000000000005</c:v>
                </c:pt>
                <c:pt idx="1">
                  <c:v>684.48</c:v>
                </c:pt>
                <c:pt idx="2">
                  <c:v>609.41</c:v>
                </c:pt>
                <c:pt idx="3">
                  <c:v>452.25</c:v>
                </c:pt>
                <c:pt idx="4">
                  <c:v>675</c:v>
                </c:pt>
              </c:numCache>
            </c:numRef>
          </c:val>
          <c:extLst>
            <c:ext xmlns:c16="http://schemas.microsoft.com/office/drawing/2014/chart" uri="{C3380CC4-5D6E-409C-BE32-E72D297353CC}">
              <c16:uniqueId val="{00000002-BF87-49CF-AA7D-B075E93A22FC}"/>
            </c:ext>
          </c:extLst>
        </c:ser>
        <c:ser>
          <c:idx val="3"/>
          <c:order val="3"/>
          <c:tx>
            <c:strRef>
              <c:f>'Valuation Range Chart'!$F$16</c:f>
              <c:strCache>
                <c:ptCount val="1"/>
                <c:pt idx="0">
                  <c:v>Range End</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Range Chart'!$B$17:$B$21</c:f>
              <c:strCache>
                <c:ptCount val="5"/>
                <c:pt idx="0">
                  <c:v>52-Week Trading Range</c:v>
                </c:pt>
                <c:pt idx="1">
                  <c:v>Comparable Companies</c:v>
                </c:pt>
                <c:pt idx="2">
                  <c:v>DCF - Sensitivity Range</c:v>
                </c:pt>
                <c:pt idx="3">
                  <c:v>DCF - Base Case Range</c:v>
                </c:pt>
                <c:pt idx="4">
                  <c:v>Analyst Target Range</c:v>
                </c:pt>
              </c:strCache>
            </c:strRef>
          </c:cat>
          <c:val>
            <c:numRef>
              <c:f>'Valuation Range Chart'!$F$17:$F$21</c:f>
              <c:numCache>
                <c:formatCode>General</c:formatCode>
                <c:ptCount val="5"/>
                <c:pt idx="0">
                  <c:v>555.45000000000005</c:v>
                </c:pt>
                <c:pt idx="1">
                  <c:v>684.48</c:v>
                </c:pt>
                <c:pt idx="2">
                  <c:v>609.41</c:v>
                </c:pt>
                <c:pt idx="3">
                  <c:v>452.25</c:v>
                </c:pt>
                <c:pt idx="4">
                  <c:v>675</c:v>
                </c:pt>
              </c:numCache>
            </c:numRef>
          </c:val>
          <c:extLst>
            <c:ext xmlns:c16="http://schemas.microsoft.com/office/drawing/2014/chart" uri="{C3380CC4-5D6E-409C-BE32-E72D297353CC}">
              <c16:uniqueId val="{00000003-BF87-49CF-AA7D-B075E93A22FC}"/>
            </c:ext>
          </c:extLst>
        </c:ser>
        <c:dLbls>
          <c:showLegendKey val="0"/>
          <c:showVal val="0"/>
          <c:showCatName val="0"/>
          <c:showSerName val="0"/>
          <c:showPercent val="0"/>
          <c:showBubbleSize val="0"/>
        </c:dLbls>
        <c:gapWidth val="219"/>
        <c:overlap val="-27"/>
        <c:axId val="248357631"/>
        <c:axId val="248359551"/>
      </c:barChart>
      <c:catAx>
        <c:axId val="24835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9551"/>
        <c:crosses val="autoZero"/>
        <c:auto val="1"/>
        <c:lblAlgn val="ctr"/>
        <c:lblOffset val="100"/>
        <c:noMultiLvlLbl val="0"/>
      </c:catAx>
      <c:valAx>
        <c:axId val="2483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b="1">
                <a:latin typeface="Open Sans" panose="020B0606030504020204" pitchFamily="34" charset="0"/>
                <a:ea typeface="Open Sans" panose="020B0606030504020204" pitchFamily="34" charset="0"/>
                <a:cs typeface="Open Sans" panose="020B0606030504020204" pitchFamily="34" charset="0"/>
              </a:defRPr>
            </a:pPr>
            <a:r>
              <a:rPr lang="en-US" sz="1200" b="1"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rPr>
              <a:t>Market Value vs Intrinsic Value</a:t>
            </a:r>
            <a:endParaRPr lang="en-US" sz="1400" b="1"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rich>
      </cx:tx>
    </cx:title>
    <cx:plotArea>
      <cx:plotAreaRegion>
        <cx:plotSurface>
          <cx:spPr>
            <a:noFill/>
            <a:ln>
              <a:noFill/>
            </a:ln>
          </cx:spPr>
        </cx:plotSurface>
        <cx:series layoutId="waterfall" uniqueId="{8DE9D384-90CA-46AD-9838-15A56339DF8B}" formatIdx="1">
          <cx:spPr>
            <a:solidFill>
              <a:srgbClr val="D9E5F7"/>
            </a:solidFill>
          </cx:spPr>
          <cx:dataLabels pos="outEnd">
            <cx:numFmt formatCode="$#,##0.00" sourceLinked="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panose="020F0502020204030204"/>
                </a:endParaRPr>
              </a:p>
            </cx:txPr>
            <cx:visibility seriesName="0" categoryName="0" value="1"/>
            <cx:separator>, </cx:separator>
          </cx:dataLabels>
          <cx:dataId val="0"/>
          <cx:layoutPr>
            <cx:subtotals>
              <cx:idx val="2"/>
            </cx:subtotals>
          </cx:layoutPr>
        </cx:series>
      </cx:plotAreaRegion>
      <cx:axis id="0">
        <cx:catScaling gapWidth="0.5"/>
        <cx:tickLabels/>
      </cx:axis>
      <cx:axis id="1">
        <cx:valScaling/>
        <cx:tickLabels/>
        <cx:numFmt formatCode="$#,##0.00" sourceLinked="0"/>
        <cx:txPr>
          <a:bodyPr spcFirstLastPara="1" vertOverflow="ellipsis" horzOverflow="overflow" wrap="square" lIns="0" tIns="0" rIns="0" bIns="0" anchor="ctr" anchorCtr="1"/>
          <a:lstStyle/>
          <a:p>
            <a:pPr algn="ctr" rtl="0">
              <a:defRPr sz="800">
                <a:latin typeface="Open Sans" panose="020B0606030504020204" pitchFamily="34" charset="0"/>
                <a:ea typeface="Open Sans" panose="020B0606030504020204" pitchFamily="34" charset="0"/>
                <a:cs typeface="Open Sans" panose="020B0606030504020204" pitchFamily="34" charset="0"/>
              </a:defRPr>
            </a:pPr>
            <a:endParaRPr lang="en-US" sz="800" b="0"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b="1">
                <a:latin typeface="Open Sans" panose="020B0606030504020204" pitchFamily="34" charset="0"/>
                <a:ea typeface="Open Sans" panose="020B0606030504020204" pitchFamily="34" charset="0"/>
                <a:cs typeface="Open Sans" panose="020B0606030504020204" pitchFamily="34" charset="0"/>
              </a:defRPr>
            </a:pPr>
            <a:r>
              <a:rPr lang="en-US" sz="1200" b="1"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rPr>
              <a:t>Market Value vs Intrinsic Value</a:t>
            </a:r>
            <a:endParaRPr lang="en-US" sz="1400" b="1"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rich>
      </cx:tx>
    </cx:title>
    <cx:plotArea>
      <cx:plotAreaRegion>
        <cx:plotSurface>
          <cx:spPr>
            <a:noFill/>
            <a:ln>
              <a:noFill/>
            </a:ln>
          </cx:spPr>
        </cx:plotSurface>
        <cx:series layoutId="waterfall" uniqueId="{8DE9D384-90CA-46AD-9838-15A56339DF8B}" formatIdx="1">
          <cx:spPr>
            <a:solidFill>
              <a:srgbClr val="D9E5F7"/>
            </a:solidFill>
          </cx:spPr>
          <cx:dataLabels pos="outEnd">
            <cx:numFmt formatCode="$#,##0.00" sourceLinked="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panose="020F0502020204030204"/>
                </a:endParaRPr>
              </a:p>
            </cx:txPr>
            <cx:visibility seriesName="0" categoryName="0" value="1"/>
            <cx:separator>, </cx:separator>
          </cx:dataLabels>
          <cx:dataId val="0"/>
          <cx:layoutPr>
            <cx:subtotals>
              <cx:idx val="2"/>
            </cx:subtotals>
          </cx:layoutPr>
        </cx:series>
      </cx:plotAreaRegion>
      <cx:axis id="0">
        <cx:catScaling gapWidth="0.5"/>
        <cx:tickLabels/>
      </cx:axis>
      <cx:axis id="1">
        <cx:valScaling/>
        <cx:tickLabels/>
        <cx:numFmt formatCode="$#,##0.00" sourceLinked="0"/>
        <cx:txPr>
          <a:bodyPr spcFirstLastPara="1" vertOverflow="ellipsis" horzOverflow="overflow" wrap="square" lIns="0" tIns="0" rIns="0" bIns="0" anchor="ctr" anchorCtr="1"/>
          <a:lstStyle/>
          <a:p>
            <a:pPr algn="ctr" rtl="0">
              <a:defRPr sz="800">
                <a:latin typeface="Open Sans" panose="020B0606030504020204" pitchFamily="34" charset="0"/>
                <a:ea typeface="Open Sans" panose="020B0606030504020204" pitchFamily="34" charset="0"/>
                <a:cs typeface="Open Sans" panose="020B0606030504020204" pitchFamily="34" charset="0"/>
              </a:defRPr>
            </a:pPr>
            <a:endParaRPr lang="en-US" sz="800" b="0" i="0" u="none" strike="noStrike" baseline="0">
              <a:solidFill>
                <a:sysClr val="windowText" lastClr="000000">
                  <a:lumMod val="65000"/>
                  <a:lumOff val="35000"/>
                </a:sysClr>
              </a:solidFill>
              <a:latin typeface="Open Sans" panose="020B0606030504020204" pitchFamily="34" charset="0"/>
              <a:ea typeface="Open Sans" panose="020B0606030504020204" pitchFamily="34" charset="0"/>
              <a:cs typeface="Open Sans" panose="020B0606030504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8</xdr:col>
      <xdr:colOff>-1</xdr:colOff>
      <xdr:row>9</xdr:row>
      <xdr:rowOff>45244</xdr:rowOff>
    </xdr:from>
    <xdr:to>
      <xdr:col>16</xdr:col>
      <xdr:colOff>119062</xdr:colOff>
      <xdr:row>23</xdr:row>
      <xdr:rowOff>198436</xdr:rowOff>
    </xdr:to>
    <xdr:graphicFrame macro="">
      <xdr:nvGraphicFramePr>
        <xdr:cNvPr id="3" name="Chart 2">
          <a:extLst>
            <a:ext uri="{FF2B5EF4-FFF2-40B4-BE49-F238E27FC236}">
              <a16:creationId xmlns:a16="http://schemas.microsoft.com/office/drawing/2014/main" id="{0234A2B9-392E-2CFA-19E5-00AAC445A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206375</xdr:colOff>
      <xdr:row>15</xdr:row>
      <xdr:rowOff>92869</xdr:rowOff>
    </xdr:from>
    <xdr:to>
      <xdr:col>7</xdr:col>
      <xdr:colOff>349251</xdr:colOff>
      <xdr:row>26</xdr:row>
      <xdr:rowOff>55563</xdr:rowOff>
    </xdr:to>
    <xdr:graphicFrame macro="">
      <xdr:nvGraphicFramePr>
        <xdr:cNvPr id="4" name="Chart 3">
          <a:extLst>
            <a:ext uri="{FF2B5EF4-FFF2-40B4-BE49-F238E27FC236}">
              <a16:creationId xmlns:a16="http://schemas.microsoft.com/office/drawing/2014/main" id="{DA513568-618F-9B2D-E882-8E0DF6490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7937</xdr:colOff>
      <xdr:row>27</xdr:row>
      <xdr:rowOff>134937</xdr:rowOff>
    </xdr:from>
    <xdr:to>
      <xdr:col>5</xdr:col>
      <xdr:colOff>508000</xdr:colOff>
      <xdr:row>45</xdr:row>
      <xdr:rowOff>2381</xdr:rowOff>
    </xdr:to>
    <xdr:graphicFrame macro="">
      <xdr:nvGraphicFramePr>
        <xdr:cNvPr id="5" name="Chart 4">
          <a:extLst>
            <a:ext uri="{FF2B5EF4-FFF2-40B4-BE49-F238E27FC236}">
              <a16:creationId xmlns:a16="http://schemas.microsoft.com/office/drawing/2014/main" id="{9771D221-8021-FB21-172C-855A56701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23813</xdr:colOff>
      <xdr:row>27</xdr:row>
      <xdr:rowOff>116681</xdr:rowOff>
    </xdr:from>
    <xdr:to>
      <xdr:col>16</xdr:col>
      <xdr:colOff>238125</xdr:colOff>
      <xdr:row>45</xdr:row>
      <xdr:rowOff>47625</xdr:rowOff>
    </xdr:to>
    <xdr:graphicFrame macro="">
      <xdr:nvGraphicFramePr>
        <xdr:cNvPr id="6" name="Chart 5">
          <a:extLst>
            <a:ext uri="{FF2B5EF4-FFF2-40B4-BE49-F238E27FC236}">
              <a16:creationId xmlns:a16="http://schemas.microsoft.com/office/drawing/2014/main" id="{4FAA552D-E09A-CE90-1D88-480C9FB14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714376</xdr:colOff>
      <xdr:row>4</xdr:row>
      <xdr:rowOff>28575</xdr:rowOff>
    </xdr:from>
    <xdr:to>
      <xdr:col>9</xdr:col>
      <xdr:colOff>771525</xdr:colOff>
      <xdr:row>15</xdr:row>
      <xdr:rowOff>51063</xdr:rowOff>
    </xdr:to>
    <xdr:graphicFrame macro="">
      <xdr:nvGraphicFramePr>
        <xdr:cNvPr id="2" name="Chart 1">
          <a:extLst>
            <a:ext uri="{FF2B5EF4-FFF2-40B4-BE49-F238E27FC236}">
              <a16:creationId xmlns:a16="http://schemas.microsoft.com/office/drawing/2014/main" id="{936F5B21-0CFB-4C7F-92C3-C1343CA8B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257174</xdr:colOff>
      <xdr:row>4</xdr:row>
      <xdr:rowOff>47626</xdr:rowOff>
    </xdr:from>
    <xdr:to>
      <xdr:col>13</xdr:col>
      <xdr:colOff>781049</xdr:colOff>
      <xdr:row>15</xdr:row>
      <xdr:rowOff>123825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5EDD12B-2B9C-494E-A8FD-7A5F66AF12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23834" y="1403986"/>
              <a:ext cx="3107055" cy="22555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134937</xdr:colOff>
      <xdr:row>116</xdr:row>
      <xdr:rowOff>165099</xdr:rowOff>
    </xdr:from>
    <xdr:ext cx="4371975" cy="2628900"/>
    <xdr:graphicFrame macro="">
      <xdr:nvGraphicFramePr>
        <xdr:cNvPr id="2" name="Chart 1">
          <a:extLst>
            <a:ext uri="{FF2B5EF4-FFF2-40B4-BE49-F238E27FC236}">
              <a16:creationId xmlns:a16="http://schemas.microsoft.com/office/drawing/2014/main" id="{32F5235B-008E-4DC5-97A5-34AC9D7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552450</xdr:colOff>
      <xdr:row>116</xdr:row>
      <xdr:rowOff>190500</xdr:rowOff>
    </xdr:from>
    <xdr:ext cx="5486400" cy="2628900"/>
    <xdr:graphicFrame macro="">
      <xdr:nvGraphicFramePr>
        <xdr:cNvPr id="3" name="Chart 2">
          <a:extLst>
            <a:ext uri="{FF2B5EF4-FFF2-40B4-BE49-F238E27FC236}">
              <a16:creationId xmlns:a16="http://schemas.microsoft.com/office/drawing/2014/main" id="{1B7AC121-DFD5-4F75-9E14-2A032D252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134937</xdr:colOff>
      <xdr:row>116</xdr:row>
      <xdr:rowOff>165099</xdr:rowOff>
    </xdr:from>
    <xdr:ext cx="4371975" cy="2628900"/>
    <xdr:graphicFrame macro="">
      <xdr:nvGraphicFramePr>
        <xdr:cNvPr id="4" name="Chart 1">
          <a:extLst>
            <a:ext uri="{FF2B5EF4-FFF2-40B4-BE49-F238E27FC236}">
              <a16:creationId xmlns:a16="http://schemas.microsoft.com/office/drawing/2014/main" id="{8ABC09EC-71B5-4CB8-9F86-DA3AF513D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552450</xdr:colOff>
      <xdr:row>116</xdr:row>
      <xdr:rowOff>190500</xdr:rowOff>
    </xdr:from>
    <xdr:ext cx="5486400" cy="2628900"/>
    <xdr:graphicFrame macro="">
      <xdr:nvGraphicFramePr>
        <xdr:cNvPr id="5" name="Chart 2">
          <a:extLst>
            <a:ext uri="{FF2B5EF4-FFF2-40B4-BE49-F238E27FC236}">
              <a16:creationId xmlns:a16="http://schemas.microsoft.com/office/drawing/2014/main" id="{A8343C23-C117-4A8B-BA73-594B4A1FA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twoCellAnchor>
    <xdr:from>
      <xdr:col>4</xdr:col>
      <xdr:colOff>714376</xdr:colOff>
      <xdr:row>4</xdr:row>
      <xdr:rowOff>28575</xdr:rowOff>
    </xdr:from>
    <xdr:to>
      <xdr:col>9</xdr:col>
      <xdr:colOff>771525</xdr:colOff>
      <xdr:row>15</xdr:row>
      <xdr:rowOff>51063</xdr:rowOff>
    </xdr:to>
    <xdr:graphicFrame macro="">
      <xdr:nvGraphicFramePr>
        <xdr:cNvPr id="4" name="Chart 3">
          <a:extLst>
            <a:ext uri="{FF2B5EF4-FFF2-40B4-BE49-F238E27FC236}">
              <a16:creationId xmlns:a16="http://schemas.microsoft.com/office/drawing/2014/main" id="{177C10F3-2BB9-4241-9D29-1814946D8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257174</xdr:colOff>
      <xdr:row>4</xdr:row>
      <xdr:rowOff>47626</xdr:rowOff>
    </xdr:from>
    <xdr:to>
      <xdr:col>13</xdr:col>
      <xdr:colOff>781049</xdr:colOff>
      <xdr:row>15</xdr:row>
      <xdr:rowOff>123825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FA763FB-C7B5-440F-BE05-0EB618D989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23834" y="1403986"/>
              <a:ext cx="3107055" cy="22555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0</xdr:col>
      <xdr:colOff>134937</xdr:colOff>
      <xdr:row>116</xdr:row>
      <xdr:rowOff>165099</xdr:rowOff>
    </xdr:from>
    <xdr:ext cx="4371975" cy="2628900"/>
    <xdr:graphicFrame macro="">
      <xdr:nvGraphicFramePr>
        <xdr:cNvPr id="2" name="Chart 1">
          <a:extLst>
            <a:ext uri="{FF2B5EF4-FFF2-40B4-BE49-F238E27FC236}">
              <a16:creationId xmlns:a16="http://schemas.microsoft.com/office/drawing/2014/main" id="{A7047EE3-E199-48DA-A5AB-96330B528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552450</xdr:colOff>
      <xdr:row>116</xdr:row>
      <xdr:rowOff>190500</xdr:rowOff>
    </xdr:from>
    <xdr:ext cx="5486400" cy="2628900"/>
    <xdr:graphicFrame macro="">
      <xdr:nvGraphicFramePr>
        <xdr:cNvPr id="3" name="Chart 2">
          <a:extLst>
            <a:ext uri="{FF2B5EF4-FFF2-40B4-BE49-F238E27FC236}">
              <a16:creationId xmlns:a16="http://schemas.microsoft.com/office/drawing/2014/main" id="{CB6DFC1A-66F2-4D06-8D4C-17B2CEDAE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134937</xdr:colOff>
      <xdr:row>116</xdr:row>
      <xdr:rowOff>165099</xdr:rowOff>
    </xdr:from>
    <xdr:ext cx="4371975" cy="2628900"/>
    <xdr:graphicFrame macro="">
      <xdr:nvGraphicFramePr>
        <xdr:cNvPr id="4" name="Chart 1">
          <a:extLst>
            <a:ext uri="{FF2B5EF4-FFF2-40B4-BE49-F238E27FC236}">
              <a16:creationId xmlns:a16="http://schemas.microsoft.com/office/drawing/2014/main" id="{C71C3BA3-8C24-4AF3-8BD3-66C65B4E8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552450</xdr:colOff>
      <xdr:row>116</xdr:row>
      <xdr:rowOff>190500</xdr:rowOff>
    </xdr:from>
    <xdr:ext cx="5486400" cy="2628900"/>
    <xdr:graphicFrame macro="">
      <xdr:nvGraphicFramePr>
        <xdr:cNvPr id="5" name="Chart 2">
          <a:extLst>
            <a:ext uri="{FF2B5EF4-FFF2-40B4-BE49-F238E27FC236}">
              <a16:creationId xmlns:a16="http://schemas.microsoft.com/office/drawing/2014/main" id="{0FCE522F-1EB5-4A92-B00D-D749B3146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twoCellAnchor>
    <xdr:from>
      <xdr:col>8</xdr:col>
      <xdr:colOff>601980</xdr:colOff>
      <xdr:row>0</xdr:row>
      <xdr:rowOff>30480</xdr:rowOff>
    </xdr:from>
    <xdr:to>
      <xdr:col>17</xdr:col>
      <xdr:colOff>419100</xdr:colOff>
      <xdr:row>23</xdr:row>
      <xdr:rowOff>83820</xdr:rowOff>
    </xdr:to>
    <xdr:sp macro="" textlink="">
      <xdr:nvSpPr>
        <xdr:cNvPr id="3" name="TextBox 2">
          <a:extLst>
            <a:ext uri="{FF2B5EF4-FFF2-40B4-BE49-F238E27FC236}">
              <a16:creationId xmlns:a16="http://schemas.microsoft.com/office/drawing/2014/main" id="{A27581A6-2CBA-FC32-7A8E-B943E0B77EA7}"/>
            </a:ext>
          </a:extLst>
        </xdr:cNvPr>
        <xdr:cNvSpPr txBox="1"/>
      </xdr:nvSpPr>
      <xdr:spPr>
        <a:xfrm>
          <a:off x="6858000" y="30480"/>
          <a:ext cx="5303520" cy="38862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bg2">
                  <a:lumMod val="60000"/>
                  <a:lumOff val="40000"/>
                </a:schemeClr>
              </a:solidFill>
            </a:rPr>
            <a:t>Sensitivity Analysis Summary</a:t>
          </a:r>
        </a:p>
        <a:p>
          <a:r>
            <a:rPr lang="en-US">
              <a:solidFill>
                <a:schemeClr val="bg2">
                  <a:lumMod val="60000"/>
                  <a:lumOff val="40000"/>
                </a:schemeClr>
              </a:solidFill>
            </a:rPr>
            <a:t>This DCF sensitivity analysis shows how Apple’s and Microsoft’s implied share prices change under different discount rate and perpetual growth assumptions. The rows represent the discount rate, where higher rates reduce valuation because future cash flows are discounted more heavily. The columns represent the perpetual growth rate, where higher growth assumptions increase valuation because the terminal value becomes larger. The top-left value in each table represents the linked base-case DCF implied share price from the model.</a:t>
          </a:r>
        </a:p>
        <a:p>
          <a:r>
            <a:rPr lang="en-US">
              <a:solidFill>
                <a:schemeClr val="bg2">
                  <a:lumMod val="60000"/>
                  <a:lumOff val="40000"/>
                </a:schemeClr>
              </a:solidFill>
            </a:rPr>
            <a:t>For Apple, the sensitivity table shows that valuation is highly dependent on the discount rate and terminal growth assumptions. At a 9.0% discount rate and 3.0% perpetual growth rate, Apple’s implied value is $182.04 per share, which is below its current share price of $231.27. This suggests Apple appears overvalued under more conservative assumptions. However, Apple’s linked base-case DCF implied value is $236.73, which reflects a lower discount rate and higher terminal growth rate, making the valuation more dependent on optimistic assumptions.</a:t>
          </a:r>
        </a:p>
        <a:p>
          <a:r>
            <a:rPr lang="en-US">
              <a:solidFill>
                <a:schemeClr val="bg2">
                  <a:lumMod val="60000"/>
                  <a:lumOff val="40000"/>
                </a:schemeClr>
              </a:solidFill>
            </a:rPr>
            <a:t>For Microsoft, the sensitivity table shows stronger support for the current market price. At a 9.0% discount rate and 2.5% perpetual growth rate, Microsoft’s implied value is $414.03 per share, compared to its current share price of $384.41. This suggests Microsoft appears modestly undervalued under the base-case assumptions. Even when assumptions become more conservative, Microsoft remains closer to its current market price than Apple.</a:t>
          </a:r>
        </a:p>
        <a:p>
          <a:r>
            <a:rPr lang="en-US">
              <a:solidFill>
                <a:schemeClr val="bg2">
                  <a:lumMod val="60000"/>
                  <a:lumOff val="40000"/>
                </a:schemeClr>
              </a:solidFill>
            </a:rPr>
            <a:t>Overall, the sensitivity tables show that valuation conclusions depend heavily on assumptions. Lower discount rates and higher perpetual growth rates increase implied share prices, while higher discount rates and lower perpetual growth rates reduce implied share prices. Microsoft appears stronger relative to its current market price, while Apple requires more optimistic assumptions to justify its valuation.</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601980</xdr:colOff>
      <xdr:row>2</xdr:row>
      <xdr:rowOff>186690</xdr:rowOff>
    </xdr:from>
    <xdr:to>
      <xdr:col>14</xdr:col>
      <xdr:colOff>175260</xdr:colOff>
      <xdr:row>12</xdr:row>
      <xdr:rowOff>125730</xdr:rowOff>
    </xdr:to>
    <xdr:graphicFrame macro="">
      <xdr:nvGraphicFramePr>
        <xdr:cNvPr id="10" name="Chart 9">
          <a:extLst>
            <a:ext uri="{FF2B5EF4-FFF2-40B4-BE49-F238E27FC236}">
              <a16:creationId xmlns:a16="http://schemas.microsoft.com/office/drawing/2014/main" id="{1FBC4BF6-484B-D20E-5F71-1352F04DD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617220</xdr:colOff>
      <xdr:row>13</xdr:row>
      <xdr:rowOff>118110</xdr:rowOff>
    </xdr:from>
    <xdr:to>
      <xdr:col>14</xdr:col>
      <xdr:colOff>190500</xdr:colOff>
      <xdr:row>23</xdr:row>
      <xdr:rowOff>102870</xdr:rowOff>
    </xdr:to>
    <xdr:graphicFrame macro="">
      <xdr:nvGraphicFramePr>
        <xdr:cNvPr id="11" name="Chart 10">
          <a:extLst>
            <a:ext uri="{FF2B5EF4-FFF2-40B4-BE49-F238E27FC236}">
              <a16:creationId xmlns:a16="http://schemas.microsoft.com/office/drawing/2014/main" id="{8CB271AA-FE69-CAE9-2434-3DC14F530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25</xdr:row>
      <xdr:rowOff>7620</xdr:rowOff>
    </xdr:from>
    <xdr:to>
      <xdr:col>7</xdr:col>
      <xdr:colOff>0</xdr:colOff>
      <xdr:row>36</xdr:row>
      <xdr:rowOff>7620</xdr:rowOff>
    </xdr:to>
    <xdr:sp macro="" textlink="">
      <xdr:nvSpPr>
        <xdr:cNvPr id="3" name="Rectangle 2">
          <a:extLst>
            <a:ext uri="{FF2B5EF4-FFF2-40B4-BE49-F238E27FC236}">
              <a16:creationId xmlns:a16="http://schemas.microsoft.com/office/drawing/2014/main" id="{3F6C63F3-14BA-4050-3293-91E938FEE5C1}"/>
            </a:ext>
          </a:extLst>
        </xdr:cNvPr>
        <xdr:cNvSpPr/>
      </xdr:nvSpPr>
      <xdr:spPr>
        <a:xfrm>
          <a:off x="640080" y="6903720"/>
          <a:ext cx="4099560" cy="198882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b="1">
              <a:solidFill>
                <a:schemeClr val="bg2">
                  <a:lumMod val="60000"/>
                  <a:lumOff val="40000"/>
                </a:schemeClr>
              </a:solidFill>
            </a:rPr>
            <a:t>Summary:</a:t>
          </a:r>
          <a:br>
            <a:rPr lang="en-US">
              <a:solidFill>
                <a:schemeClr val="bg2">
                  <a:lumMod val="60000"/>
                  <a:lumOff val="40000"/>
                </a:schemeClr>
              </a:solidFill>
            </a:rPr>
          </a:br>
          <a:r>
            <a:rPr lang="en-US">
              <a:solidFill>
                <a:schemeClr val="bg2">
                  <a:lumMod val="60000"/>
                  <a:lumOff val="40000"/>
                </a:schemeClr>
              </a:solidFill>
            </a:rPr>
            <a:t>This valuation range analysis compares Apple and Microsoft across multiple valuation methods, including 52-week trading range, comparable company valuation, DCF sensitivity, DCF base case, and analyst target ranges. Microsoft shows stronger upside across most valuation methods, especially in the comparable company, DCF sensitivity, and analyst target ranges. Apple still shows potential upside in some cases, but its valuation appears more dependent on favorable assumptions. Overall, Microsoft appears to have the stronger valuation profile, while Apple appears closer to fairly valued under the selected ranges.</a:t>
          </a:r>
          <a:endParaRPr lang="en-US" sz="1100">
            <a:solidFill>
              <a:schemeClr val="bg2">
                <a:lumMod val="60000"/>
                <a:lumOff val="40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ilal\Downloads\Microsoft-DCF-Model.xlsx" TargetMode="External"/><Relationship Id="rId1" Type="http://schemas.openxmlformats.org/officeDocument/2006/relationships/externalLinkPath" Target="Microsoft-DCF-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ilal\Downloads\Apple-DCF-Model.xlsx" TargetMode="External"/><Relationship Id="rId1" Type="http://schemas.openxmlformats.org/officeDocument/2006/relationships/externalLinkPath" Target="Apple-DCF-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hilal\Downloads\Microsoft-3-statement-model.xlsx" TargetMode="External"/><Relationship Id="rId1" Type="http://schemas.openxmlformats.org/officeDocument/2006/relationships/externalLinkPath" Target="Microsoft-3-statement-mode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hilal\Downloads\Apple-3-Statement-Financial-Model.xlsx" TargetMode="External"/><Relationship Id="rId1" Type="http://schemas.openxmlformats.org/officeDocument/2006/relationships/externalLinkPath" Target="Apple-3-Statement-Financial-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DCF Model"/>
      <sheetName val=" 3-Statement Model"/>
    </sheetNames>
    <sheetDataSet>
      <sheetData sheetId="0"/>
      <sheetData sheetId="1">
        <row r="19">
          <cell r="E19">
            <v>46203</v>
          </cell>
          <cell r="F19">
            <v>46568</v>
          </cell>
          <cell r="G19">
            <v>46934</v>
          </cell>
          <cell r="H19">
            <v>47299</v>
          </cell>
          <cell r="I19">
            <v>47664</v>
          </cell>
        </row>
        <row r="27">
          <cell r="E27">
            <v>105141.57654568669</v>
          </cell>
          <cell r="F27">
            <v>119355.26299473821</v>
          </cell>
          <cell r="G27">
            <v>135819.75255438493</v>
          </cell>
          <cell r="H27">
            <v>154114.92057131467</v>
          </cell>
          <cell r="I27">
            <v>174502.57744229172</v>
          </cell>
        </row>
        <row r="35">
          <cell r="L35" t="str">
            <v>Market Value</v>
          </cell>
          <cell r="N35">
            <v>384.41</v>
          </cell>
        </row>
        <row r="36">
          <cell r="L36" t="str">
            <v>Upside</v>
          </cell>
          <cell r="N36">
            <v>7.7057969202537491E-2</v>
          </cell>
        </row>
        <row r="37">
          <cell r="L37" t="str">
            <v>Intrinsic Value</v>
          </cell>
          <cell r="N37">
            <v>414.03185394114746</v>
          </cell>
        </row>
      </sheetData>
      <sheetData sheetId="2">
        <row r="14">
          <cell r="M14">
            <v>0.16806955013145408</v>
          </cell>
        </row>
        <row r="18">
          <cell r="M18">
            <v>-40255.25</v>
          </cell>
        </row>
        <row r="34">
          <cell r="I34">
            <v>140028.12592786807</v>
          </cell>
          <cell r="J34">
            <v>157524.24248985498</v>
          </cell>
          <cell r="K34">
            <v>177206.44911569319</v>
          </cell>
          <cell r="L34">
            <v>199347.891548916</v>
          </cell>
          <cell r="M34">
            <v>224255.84431779635</v>
          </cell>
        </row>
        <row r="43">
          <cell r="H43">
            <v>30242</v>
          </cell>
        </row>
        <row r="51">
          <cell r="H51">
            <v>60588</v>
          </cell>
        </row>
        <row r="66">
          <cell r="I66">
            <v>33550.678535999738</v>
          </cell>
          <cell r="J66">
            <v>34529.589284165711</v>
          </cell>
          <cell r="K66">
            <v>35365.572738914016</v>
          </cell>
          <cell r="L66">
            <v>36079.49720845557</v>
          </cell>
          <cell r="M66">
            <v>36689.184093184216</v>
          </cell>
        </row>
        <row r="72">
          <cell r="I72">
            <v>-40255.25</v>
          </cell>
          <cell r="J72">
            <v>-40255.25</v>
          </cell>
          <cell r="K72">
            <v>-40255.25</v>
          </cell>
          <cell r="L72">
            <v>-40255.25</v>
          </cell>
          <cell r="M72">
            <v>-40255.25</v>
          </cell>
        </row>
        <row r="92">
          <cell r="I92">
            <v>4647.5137877337111</v>
          </cell>
          <cell r="J92">
            <v>5968.2902092144723</v>
          </cell>
          <cell r="K92">
            <v>6714.0111169553056</v>
          </cell>
          <cell r="L92">
            <v>7552.9077337766939</v>
          </cell>
          <cell r="M92">
            <v>8496.6220998474164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DCF Model"/>
      <sheetName val=" 3-Statement Model"/>
    </sheetNames>
    <sheetDataSet>
      <sheetData sheetId="0"/>
      <sheetData sheetId="1">
        <row r="19">
          <cell r="E19">
            <v>45930</v>
          </cell>
          <cell r="F19">
            <v>46295</v>
          </cell>
          <cell r="G19">
            <v>46660</v>
          </cell>
          <cell r="H19">
            <v>47026</v>
          </cell>
          <cell r="I19">
            <v>47391</v>
          </cell>
        </row>
        <row r="27">
          <cell r="E27">
            <v>119720.30747395518</v>
          </cell>
          <cell r="F27">
            <v>111542.38166154581</v>
          </cell>
          <cell r="G27">
            <v>122076.58541956311</v>
          </cell>
          <cell r="H27">
            <v>133861.55848959187</v>
          </cell>
          <cell r="I27">
            <v>4583308.3082515355</v>
          </cell>
        </row>
        <row r="35">
          <cell r="L35" t="str">
            <v>Market Value</v>
          </cell>
          <cell r="N35">
            <v>231.27</v>
          </cell>
        </row>
        <row r="36">
          <cell r="L36" t="str">
            <v>Upside</v>
          </cell>
          <cell r="N36">
            <v>2.3592955730757925E-2</v>
          </cell>
        </row>
        <row r="37">
          <cell r="L37" t="str">
            <v>Intrinsic Value</v>
          </cell>
          <cell r="N37">
            <v>236.72634287185238</v>
          </cell>
        </row>
      </sheetData>
      <sheetData sheetId="2">
        <row r="18">
          <cell r="I18">
            <v>9901.6</v>
          </cell>
        </row>
        <row r="34">
          <cell r="I34">
            <v>120668.13054130404</v>
          </cell>
          <cell r="J34">
            <v>132817.8142092487</v>
          </cell>
          <cell r="K34">
            <v>146190.81021798239</v>
          </cell>
          <cell r="L34">
            <v>160910.28992933041</v>
          </cell>
          <cell r="M34">
            <v>177111.82643104519</v>
          </cell>
        </row>
        <row r="36">
          <cell r="I36">
            <v>20003.409192428047</v>
          </cell>
          <cell r="J36">
            <v>22017.487747206578</v>
          </cell>
          <cell r="K36">
            <v>24234.357355539836</v>
          </cell>
          <cell r="L36">
            <v>26674.436392522613</v>
          </cell>
          <cell r="M36">
            <v>29360.199093378636</v>
          </cell>
        </row>
        <row r="43">
          <cell r="H43">
            <v>65171</v>
          </cell>
        </row>
        <row r="51">
          <cell r="H51">
            <v>85750</v>
          </cell>
        </row>
        <row r="66">
          <cell r="I66">
            <v>12466.20096327297</v>
          </cell>
          <cell r="J66">
            <v>11766.314120042578</v>
          </cell>
          <cell r="K66">
            <v>11257.428372242588</v>
          </cell>
          <cell r="L66">
            <v>10887.418981697854</v>
          </cell>
          <cell r="M66">
            <v>10618.386198439217</v>
          </cell>
        </row>
        <row r="67">
          <cell r="I67">
            <v>-16490.985161806231</v>
          </cell>
          <cell r="J67">
            <v>1122.6589205388664</v>
          </cell>
          <cell r="K67">
            <v>1235.6958151220169</v>
          </cell>
          <cell r="L67">
            <v>1360.1140289137547</v>
          </cell>
          <cell r="M67">
            <v>1497.0595101232757</v>
          </cell>
        </row>
        <row r="71">
          <cell r="I71">
            <v>-9901.6</v>
          </cell>
          <cell r="J71">
            <v>-9901.6</v>
          </cell>
          <cell r="K71">
            <v>-9901.6</v>
          </cell>
          <cell r="L71">
            <v>-9901.6</v>
          </cell>
          <cell r="M71">
            <v>-9901.6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hree Statement Model"/>
    </sheetNames>
    <sheetDataSet>
      <sheetData sheetId="0"/>
      <sheetData sheetId="1">
        <row r="2">
          <cell r="D2">
            <v>2021</v>
          </cell>
          <cell r="E2">
            <v>2022</v>
          </cell>
          <cell r="F2">
            <v>2023</v>
          </cell>
          <cell r="G2">
            <v>2024</v>
          </cell>
          <cell r="H2">
            <v>2025</v>
          </cell>
          <cell r="I2">
            <v>2026</v>
          </cell>
          <cell r="J2">
            <v>2027</v>
          </cell>
          <cell r="K2">
            <v>2028</v>
          </cell>
          <cell r="L2">
            <v>2029</v>
          </cell>
          <cell r="M2">
            <v>2030</v>
          </cell>
        </row>
        <row r="110">
          <cell r="A110" t="str">
            <v>Revenue</v>
          </cell>
          <cell r="D110" t="str">
            <v>-</v>
          </cell>
          <cell r="E110">
            <v>198270</v>
          </cell>
          <cell r="F110">
            <v>211915</v>
          </cell>
          <cell r="G110">
            <v>245122</v>
          </cell>
          <cell r="H110">
            <v>281724</v>
          </cell>
          <cell r="I110">
            <v>316924.61351708934</v>
          </cell>
          <cell r="J110">
            <v>356523.44370006263</v>
          </cell>
          <cell r="K110">
            <v>401070.03522747121</v>
          </cell>
          <cell r="L110">
            <v>451182.59682438028</v>
          </cell>
          <cell r="M110">
            <v>507556.58063992934</v>
          </cell>
        </row>
        <row r="111">
          <cell r="A111" t="str">
            <v>Gross Profit Margin (%)</v>
          </cell>
          <cell r="D111" t="str">
            <v>-</v>
          </cell>
          <cell r="E111">
            <v>0.68401674484289099</v>
          </cell>
          <cell r="F111">
            <v>0.68920085883491022</v>
          </cell>
          <cell r="G111">
            <v>0.69764443827971379</v>
          </cell>
          <cell r="H111">
            <v>0.68823742386165188</v>
          </cell>
          <cell r="I111">
            <v>0.68977486645479169</v>
          </cell>
          <cell r="J111">
            <v>0.68977486645479169</v>
          </cell>
          <cell r="K111">
            <v>0.68977486645479169</v>
          </cell>
          <cell r="L111">
            <v>0.68977486645479158</v>
          </cell>
          <cell r="M111">
            <v>0.68977486645479169</v>
          </cell>
        </row>
        <row r="113">
          <cell r="A113" t="str">
            <v>Operating Cash Flow</v>
          </cell>
          <cell r="D113" t="str">
            <v>-</v>
          </cell>
          <cell r="E113">
            <v>86752</v>
          </cell>
          <cell r="F113">
            <v>88880</v>
          </cell>
          <cell r="G113">
            <v>108599</v>
          </cell>
          <cell r="H113">
            <v>141335</v>
          </cell>
          <cell r="I113">
            <v>145396.82654568669</v>
          </cell>
          <cell r="J113">
            <v>159610.51299473821</v>
          </cell>
          <cell r="K113">
            <v>176075.00255438493</v>
          </cell>
          <cell r="L113">
            <v>194370.17057131467</v>
          </cell>
          <cell r="M113">
            <v>214757.82744229172</v>
          </cell>
        </row>
        <row r="114">
          <cell r="A114" t="str">
            <v>Investing Cash Flow</v>
          </cell>
          <cell r="D114" t="str">
            <v>-</v>
          </cell>
          <cell r="E114">
            <v>-23886</v>
          </cell>
          <cell r="F114">
            <v>-28107</v>
          </cell>
          <cell r="G114">
            <v>-44477</v>
          </cell>
          <cell r="H114">
            <v>-64551</v>
          </cell>
          <cell r="I114">
            <v>-40255.25</v>
          </cell>
          <cell r="J114">
            <v>-40255.25</v>
          </cell>
          <cell r="K114">
            <v>-40255.25</v>
          </cell>
          <cell r="L114">
            <v>-40255.25</v>
          </cell>
          <cell r="M114">
            <v>-40255.25</v>
          </cell>
        </row>
        <row r="115">
          <cell r="A115" t="str">
            <v>Financing Cash Flow</v>
          </cell>
          <cell r="D115" t="str">
            <v>-</v>
          </cell>
          <cell r="E115">
            <v>-39878</v>
          </cell>
          <cell r="F115">
            <v>-23129</v>
          </cell>
          <cell r="G115">
            <v>-19927</v>
          </cell>
          <cell r="H115">
            <v>-19580</v>
          </cell>
          <cell r="I115">
            <v>-25628.5</v>
          </cell>
          <cell r="J115">
            <v>-25628.5</v>
          </cell>
          <cell r="K115">
            <v>-25628.5</v>
          </cell>
          <cell r="L115">
            <v>-25628.5</v>
          </cell>
          <cell r="M115">
            <v>-25628.5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hree Statement Model"/>
    </sheetNames>
    <sheetDataSet>
      <sheetData sheetId="0"/>
      <sheetData sheetId="1">
        <row r="2">
          <cell r="D2">
            <v>2020</v>
          </cell>
          <cell r="E2">
            <v>2021</v>
          </cell>
          <cell r="F2">
            <v>2022</v>
          </cell>
          <cell r="G2">
            <v>2023</v>
          </cell>
          <cell r="H2">
            <v>2024</v>
          </cell>
          <cell r="I2">
            <v>2025</v>
          </cell>
          <cell r="J2">
            <v>2026</v>
          </cell>
          <cell r="K2">
            <v>2027</v>
          </cell>
          <cell r="L2">
            <v>2028</v>
          </cell>
          <cell r="M2">
            <v>2029</v>
          </cell>
        </row>
        <row r="110">
          <cell r="A110" t="str">
            <v>Revenue</v>
          </cell>
          <cell r="D110">
            <v>274515</v>
          </cell>
          <cell r="E110">
            <v>365817</v>
          </cell>
          <cell r="F110">
            <v>394328</v>
          </cell>
          <cell r="G110">
            <v>383285</v>
          </cell>
          <cell r="H110">
            <v>391035</v>
          </cell>
          <cell r="I110">
            <v>430407.04903881822</v>
          </cell>
          <cell r="J110">
            <v>473743.34231540316</v>
          </cell>
          <cell r="K110">
            <v>521443.02675658028</v>
          </cell>
          <cell r="L110">
            <v>573945.43810188153</v>
          </cell>
          <cell r="M110">
            <v>631734.14738507429</v>
          </cell>
        </row>
        <row r="111">
          <cell r="A111" t="str">
            <v>Gross Profit Margin (%)</v>
          </cell>
          <cell r="D111">
            <v>0.38233247727810865</v>
          </cell>
          <cell r="E111">
            <v>0.41779359625167778</v>
          </cell>
          <cell r="F111">
            <v>0.43309630561360085</v>
          </cell>
          <cell r="G111">
            <v>0.44131129577207562</v>
          </cell>
          <cell r="H111">
            <v>0.46206349815233932</v>
          </cell>
          <cell r="I111">
            <v>0.42731943461356037</v>
          </cell>
          <cell r="J111">
            <v>0.42731943461356037</v>
          </cell>
          <cell r="K111">
            <v>0.42731943461356031</v>
          </cell>
          <cell r="L111">
            <v>0.42731943461356037</v>
          </cell>
          <cell r="M111">
            <v>0.42731943461356031</v>
          </cell>
        </row>
        <row r="113">
          <cell r="A113" t="str">
            <v>Operating Cash Flow</v>
          </cell>
          <cell r="D113">
            <v>79319</v>
          </cell>
          <cell r="E113">
            <v>80871</v>
          </cell>
          <cell r="F113">
            <v>101120</v>
          </cell>
          <cell r="G113">
            <v>107097</v>
          </cell>
          <cell r="H113">
            <v>94327</v>
          </cell>
          <cell r="I113">
            <v>129621.90747395519</v>
          </cell>
          <cell r="J113">
            <v>121443.98166154581</v>
          </cell>
          <cell r="K113">
            <v>131978.18541956312</v>
          </cell>
          <cell r="L113">
            <v>143763.15848959188</v>
          </cell>
          <cell r="M113">
            <v>156872.9540259825</v>
          </cell>
        </row>
        <row r="114">
          <cell r="A114" t="str">
            <v>Investing Cash Flow</v>
          </cell>
          <cell r="D114">
            <v>-7309</v>
          </cell>
          <cell r="E114">
            <v>-11085</v>
          </cell>
          <cell r="F114">
            <v>-10708</v>
          </cell>
          <cell r="G114">
            <v>-10959</v>
          </cell>
          <cell r="H114">
            <v>-9447</v>
          </cell>
          <cell r="I114">
            <v>-9901.6</v>
          </cell>
          <cell r="J114">
            <v>-9901.6</v>
          </cell>
          <cell r="K114">
            <v>-9901.6</v>
          </cell>
          <cell r="L114">
            <v>-9901.6</v>
          </cell>
          <cell r="M114">
            <v>-9901.6</v>
          </cell>
        </row>
        <row r="115">
          <cell r="A115" t="str">
            <v>Financing Cash Flow</v>
          </cell>
          <cell r="D115">
            <v>-69859</v>
          </cell>
          <cell r="E115">
            <v>-73306</v>
          </cell>
          <cell r="F115" t="str">
            <v xml:space="preserve"> </v>
          </cell>
          <cell r="G115">
            <v>-87451</v>
          </cell>
          <cell r="H115">
            <v>-100947</v>
          </cell>
          <cell r="I115">
            <v>-84217.600000000006</v>
          </cell>
          <cell r="J115">
            <v>-84217.600000000006</v>
          </cell>
          <cell r="K115">
            <v>-84217.600000000006</v>
          </cell>
          <cell r="L115">
            <v>-84217.600000000006</v>
          </cell>
          <cell r="M115">
            <v>-84217.600000000006</v>
          </cell>
        </row>
      </sheetData>
    </sheetDataSet>
  </externalBook>
</externalLink>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
  <sheetViews>
    <sheetView workbookViewId="0"/>
  </sheetViews>
  <sheetFormatPr defaultRowHeight="14.4" x14ac:dyDescent="0.3"/>
  <sheetData>
    <row r="1" spans="1:15" x14ac:dyDescent="0.3">
      <c r="A1">
        <v>15</v>
      </c>
      <c r="B1" t="s">
        <v>18</v>
      </c>
      <c r="C1" t="s">
        <v>19</v>
      </c>
      <c r="D1" t="s">
        <v>20</v>
      </c>
      <c r="E1" t="s">
        <v>21</v>
      </c>
      <c r="F1" t="s">
        <v>22</v>
      </c>
      <c r="G1" t="s">
        <v>23</v>
      </c>
      <c r="H1" t="s">
        <v>24</v>
      </c>
      <c r="I1" t="s">
        <v>25</v>
      </c>
      <c r="J1" t="s">
        <v>26</v>
      </c>
      <c r="K1" t="s">
        <v>27</v>
      </c>
      <c r="L1" t="s">
        <v>28</v>
      </c>
      <c r="M1" t="s">
        <v>29</v>
      </c>
      <c r="N1" t="s">
        <v>30</v>
      </c>
      <c r="O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B8D2-D7D1-48B3-ADFE-03054E84B69D}">
  <dimension ref="B1:O44"/>
  <sheetViews>
    <sheetView showGridLines="0" topLeftCell="A6" zoomScaleNormal="100" workbookViewId="0">
      <selection activeCell="H20" sqref="H20"/>
    </sheetView>
  </sheetViews>
  <sheetFormatPr defaultColWidth="9.109375" defaultRowHeight="13.8" x14ac:dyDescent="0.25"/>
  <cols>
    <col min="1" max="2" width="11" style="7" customWidth="1"/>
    <col min="3" max="3" width="33.109375" style="7" customWidth="1"/>
    <col min="4" max="22" width="11" style="7" customWidth="1"/>
    <col min="23" max="25" width="9.109375" style="7"/>
    <col min="26" max="26" width="9.109375" style="7" customWidth="1"/>
    <col min="27" max="16384" width="9.109375" style="7"/>
  </cols>
  <sheetData>
    <row r="1" spans="2:15" ht="19.5" customHeight="1" x14ac:dyDescent="0.25"/>
    <row r="2" spans="2:15" ht="19.5" customHeight="1" x14ac:dyDescent="0.25"/>
    <row r="3" spans="2:15" ht="19.5" customHeight="1" x14ac:dyDescent="0.25"/>
    <row r="4" spans="2:15" ht="19.5" customHeight="1" x14ac:dyDescent="0.25">
      <c r="B4" s="8"/>
      <c r="C4" s="8"/>
      <c r="D4" s="8"/>
      <c r="E4" s="8"/>
      <c r="F4" s="8"/>
      <c r="G4" s="8"/>
      <c r="H4" s="8"/>
      <c r="I4" s="8"/>
      <c r="J4" s="8"/>
      <c r="K4" s="8"/>
      <c r="L4" s="8"/>
      <c r="M4" s="8"/>
      <c r="N4" s="8"/>
      <c r="O4" s="8"/>
    </row>
    <row r="5" spans="2:15" ht="19.5" customHeight="1" x14ac:dyDescent="0.25">
      <c r="B5" s="8"/>
      <c r="C5" s="8"/>
      <c r="D5" s="8"/>
      <c r="E5" s="8"/>
      <c r="F5" s="8"/>
      <c r="G5" s="8"/>
      <c r="H5" s="8"/>
      <c r="I5" s="8"/>
      <c r="J5" s="8"/>
      <c r="K5" s="8"/>
      <c r="L5" s="8"/>
      <c r="M5" s="8"/>
      <c r="N5" s="8"/>
      <c r="O5" s="8"/>
    </row>
    <row r="6" spans="2:15" ht="19.5" customHeight="1" x14ac:dyDescent="0.25">
      <c r="B6" s="8"/>
      <c r="C6" s="8"/>
      <c r="D6" s="8"/>
      <c r="E6" s="8"/>
      <c r="F6" s="8"/>
      <c r="G6" s="8"/>
      <c r="H6" s="8"/>
      <c r="I6" s="8"/>
      <c r="J6" s="8"/>
      <c r="K6" s="8"/>
      <c r="L6" s="8"/>
      <c r="M6" s="8"/>
      <c r="N6" s="8"/>
      <c r="O6" s="8"/>
    </row>
    <row r="7" spans="2:15" ht="19.5" customHeight="1" x14ac:dyDescent="0.25">
      <c r="B7" s="8"/>
      <c r="C7" s="8"/>
      <c r="D7" s="8"/>
      <c r="E7" s="8"/>
      <c r="F7" s="8"/>
      <c r="G7" s="8"/>
      <c r="H7" s="8"/>
      <c r="I7" s="8"/>
      <c r="J7" s="8"/>
      <c r="K7" s="8"/>
      <c r="L7" s="8"/>
      <c r="M7" s="8"/>
      <c r="N7" s="8"/>
      <c r="O7" s="8"/>
    </row>
    <row r="8" spans="2:15" ht="19.5" customHeight="1" x14ac:dyDescent="0.25">
      <c r="B8" s="8"/>
      <c r="C8" s="8"/>
      <c r="D8" s="8"/>
      <c r="E8" s="8"/>
      <c r="F8" s="8"/>
      <c r="G8" s="8"/>
      <c r="H8" s="8"/>
      <c r="I8" s="8"/>
      <c r="J8" s="8"/>
      <c r="K8" s="8"/>
      <c r="L8" s="8"/>
      <c r="M8" s="8"/>
      <c r="N8" s="8"/>
      <c r="O8" s="8"/>
    </row>
    <row r="9" spans="2:15" ht="19.5" customHeight="1" x14ac:dyDescent="0.25">
      <c r="B9" s="8"/>
      <c r="C9" s="8"/>
      <c r="D9" s="8"/>
      <c r="E9" s="8"/>
      <c r="F9" s="8"/>
      <c r="G9" s="8"/>
      <c r="H9" s="8"/>
      <c r="I9" s="8"/>
      <c r="J9" s="8"/>
      <c r="K9" s="8"/>
      <c r="L9" s="8"/>
      <c r="M9" s="8"/>
      <c r="N9" s="8"/>
      <c r="O9" s="8"/>
    </row>
    <row r="10" spans="2:15" ht="19.5" customHeight="1" x14ac:dyDescent="0.25">
      <c r="B10" s="8"/>
      <c r="C10" s="8"/>
      <c r="D10" s="8"/>
      <c r="E10" s="8"/>
      <c r="F10" s="8"/>
      <c r="G10" s="8"/>
      <c r="H10" s="8"/>
      <c r="I10" s="8"/>
      <c r="J10" s="8"/>
      <c r="K10" s="8"/>
      <c r="L10" s="8"/>
      <c r="M10" s="8"/>
      <c r="N10" s="8"/>
      <c r="O10" s="8"/>
    </row>
    <row r="11" spans="2:15" ht="19.5" customHeight="1" x14ac:dyDescent="0.25">
      <c r="B11" s="8"/>
      <c r="C11" s="8"/>
      <c r="D11" s="8"/>
      <c r="E11" s="8"/>
      <c r="F11" s="8"/>
      <c r="G11" s="8"/>
      <c r="H11" s="8"/>
      <c r="I11" s="8"/>
      <c r="J11" s="8"/>
      <c r="K11" s="8"/>
      <c r="L11" s="8"/>
      <c r="M11" s="8"/>
      <c r="N11" s="8"/>
      <c r="O11" s="8"/>
    </row>
    <row r="12" spans="2:15" ht="28.2" x14ac:dyDescent="0.5">
      <c r="B12" s="8"/>
      <c r="C12" s="15" t="s">
        <v>34</v>
      </c>
      <c r="D12" s="8"/>
      <c r="E12" s="8"/>
      <c r="F12" s="8"/>
      <c r="G12" s="8"/>
      <c r="H12" s="8"/>
      <c r="I12" s="8"/>
      <c r="J12" s="8"/>
      <c r="K12" s="8"/>
      <c r="L12" s="8"/>
      <c r="M12" s="8"/>
      <c r="N12" s="9"/>
      <c r="O12" s="8"/>
    </row>
    <row r="13" spans="2:15" ht="19.5" customHeight="1" x14ac:dyDescent="0.25">
      <c r="B13" s="8"/>
      <c r="C13" s="10"/>
      <c r="D13" s="8"/>
      <c r="E13" s="8"/>
      <c r="F13" s="8"/>
      <c r="G13" s="8"/>
      <c r="H13" s="8"/>
      <c r="I13" s="8"/>
      <c r="J13" s="8"/>
      <c r="K13" s="8"/>
      <c r="L13" s="8"/>
      <c r="M13" s="8"/>
      <c r="N13" s="8"/>
      <c r="O13" s="8"/>
    </row>
    <row r="14" spans="2:15" ht="19.5" customHeight="1" x14ac:dyDescent="0.3">
      <c r="B14" s="8"/>
      <c r="C14" s="11"/>
      <c r="D14" s="8"/>
      <c r="E14" s="8"/>
      <c r="F14" s="8"/>
      <c r="G14" s="8"/>
      <c r="H14" s="8"/>
      <c r="I14" s="8"/>
      <c r="J14" s="8"/>
      <c r="K14" s="8"/>
      <c r="L14" s="8"/>
      <c r="M14" s="8"/>
      <c r="N14" s="8"/>
      <c r="O14" s="8"/>
    </row>
    <row r="15" spans="2:15" ht="19.5" customHeight="1" x14ac:dyDescent="0.3">
      <c r="B15" s="8"/>
      <c r="C15" s="11"/>
      <c r="D15" s="8"/>
      <c r="E15" s="8"/>
      <c r="F15" s="8"/>
      <c r="G15" s="8"/>
      <c r="H15" s="8"/>
      <c r="I15" s="8"/>
      <c r="J15" s="8"/>
      <c r="K15" s="8"/>
      <c r="L15" s="8"/>
      <c r="M15" s="8"/>
      <c r="N15" s="8"/>
      <c r="O15" s="8"/>
    </row>
    <row r="16" spans="2:15" ht="19.5" customHeight="1" x14ac:dyDescent="0.25">
      <c r="B16" s="8"/>
      <c r="C16" s="8"/>
      <c r="D16" s="8"/>
      <c r="E16" s="8"/>
      <c r="F16" s="8"/>
      <c r="G16" s="8"/>
      <c r="H16" s="8"/>
      <c r="I16" s="8"/>
      <c r="J16" s="8"/>
      <c r="K16" s="8"/>
      <c r="L16" s="8"/>
      <c r="M16" s="8"/>
      <c r="N16" s="8"/>
      <c r="O16" s="8"/>
    </row>
    <row r="17" spans="2:15" ht="19.5" customHeight="1" x14ac:dyDescent="0.25">
      <c r="B17" s="8"/>
      <c r="C17" s="8"/>
      <c r="D17" s="8"/>
      <c r="E17" s="8"/>
      <c r="F17" s="8"/>
      <c r="G17" s="8"/>
      <c r="H17" s="8"/>
      <c r="I17" s="8"/>
      <c r="J17" s="8"/>
      <c r="K17" s="8"/>
      <c r="L17" s="8"/>
      <c r="M17" s="8"/>
      <c r="N17" s="8"/>
      <c r="O17" s="8"/>
    </row>
    <row r="18" spans="2:15" ht="19.5" customHeight="1" x14ac:dyDescent="0.25">
      <c r="B18" s="8"/>
      <c r="C18" s="12"/>
      <c r="D18" s="12"/>
      <c r="E18" s="12"/>
      <c r="F18" s="12"/>
      <c r="G18" s="12"/>
      <c r="H18" s="12"/>
      <c r="I18" s="12"/>
      <c r="J18" s="12"/>
      <c r="K18" s="12"/>
      <c r="L18" s="12"/>
      <c r="M18" s="12"/>
      <c r="N18" s="12"/>
      <c r="O18" s="8"/>
    </row>
    <row r="19" spans="2:15" ht="19.5" customHeight="1" x14ac:dyDescent="0.35">
      <c r="B19" s="8"/>
      <c r="C19" s="170" t="s">
        <v>33</v>
      </c>
      <c r="D19" s="8"/>
      <c r="E19" s="8"/>
      <c r="F19" s="8"/>
      <c r="G19" s="8"/>
      <c r="H19" s="8"/>
      <c r="I19" s="8"/>
      <c r="J19" s="8"/>
      <c r="K19" s="8"/>
      <c r="L19" s="8"/>
      <c r="M19" s="8"/>
      <c r="N19" s="8"/>
      <c r="O19" s="8"/>
    </row>
    <row r="20" spans="2:15" ht="19.5" customHeight="1" x14ac:dyDescent="0.25">
      <c r="B20" s="8"/>
      <c r="C20" s="13"/>
      <c r="D20" s="8"/>
      <c r="E20" s="8"/>
      <c r="F20" s="8"/>
      <c r="G20" s="8"/>
      <c r="H20" s="8"/>
      <c r="I20" s="8"/>
      <c r="J20" s="8"/>
      <c r="K20" s="8"/>
      <c r="L20" s="8"/>
      <c r="M20" s="8"/>
      <c r="N20" s="8"/>
      <c r="O20" s="8"/>
    </row>
    <row r="21" spans="2:15" ht="19.5" customHeight="1" x14ac:dyDescent="0.3">
      <c r="B21" s="174"/>
      <c r="C21" s="172" t="s">
        <v>173</v>
      </c>
      <c r="D21" s="171"/>
      <c r="E21" s="8"/>
      <c r="F21" s="8"/>
      <c r="G21" s="8"/>
      <c r="H21" s="8"/>
      <c r="I21" s="8"/>
      <c r="J21" s="8"/>
      <c r="K21" s="8"/>
      <c r="L21" s="8"/>
      <c r="M21" s="8"/>
      <c r="N21" s="8"/>
      <c r="O21" s="8"/>
    </row>
    <row r="22" spans="2:15" ht="19.5" customHeight="1" x14ac:dyDescent="0.3">
      <c r="B22" s="174"/>
      <c r="C22" s="173" t="s">
        <v>174</v>
      </c>
      <c r="D22" s="171"/>
      <c r="E22" s="8"/>
      <c r="F22" s="8"/>
      <c r="G22" s="8"/>
      <c r="H22" s="8"/>
      <c r="I22" s="8"/>
      <c r="J22" s="8"/>
      <c r="K22" s="8"/>
      <c r="L22" s="8"/>
      <c r="M22" s="8"/>
      <c r="N22" s="8"/>
      <c r="O22" s="8"/>
    </row>
    <row r="23" spans="2:15" ht="19.5" customHeight="1" x14ac:dyDescent="0.3">
      <c r="B23" s="174"/>
      <c r="C23" s="173" t="s">
        <v>175</v>
      </c>
      <c r="D23" s="171"/>
      <c r="E23" s="14"/>
      <c r="F23" s="14"/>
      <c r="G23" s="14"/>
      <c r="H23" s="14"/>
      <c r="I23" s="14"/>
      <c r="J23" s="14"/>
      <c r="K23" s="14"/>
      <c r="L23" s="14"/>
      <c r="M23" s="14"/>
      <c r="N23" s="14"/>
      <c r="O23" s="8"/>
    </row>
    <row r="24" spans="2:15" ht="19.5" customHeight="1" x14ac:dyDescent="0.3">
      <c r="B24" s="174"/>
      <c r="C24" s="173" t="s">
        <v>177</v>
      </c>
      <c r="D24" s="171"/>
      <c r="E24" s="14"/>
      <c r="F24" s="14"/>
      <c r="G24" s="14"/>
      <c r="H24" s="14"/>
      <c r="I24" s="14"/>
      <c r="J24" s="14"/>
      <c r="K24" s="14"/>
      <c r="L24" s="14"/>
      <c r="M24" s="14"/>
      <c r="N24" s="14"/>
      <c r="O24" s="8"/>
    </row>
    <row r="25" spans="2:15" ht="19.5" customHeight="1" x14ac:dyDescent="0.3">
      <c r="B25" s="174"/>
      <c r="C25" s="173" t="s">
        <v>176</v>
      </c>
      <c r="D25" s="171"/>
      <c r="E25" s="14"/>
      <c r="F25" s="14"/>
      <c r="G25" s="14"/>
      <c r="H25" s="14"/>
      <c r="I25" s="14"/>
      <c r="J25" s="14"/>
      <c r="K25" s="14"/>
      <c r="L25" s="14"/>
      <c r="M25" s="14"/>
      <c r="N25" s="14"/>
      <c r="O25" s="8"/>
    </row>
    <row r="26" spans="2:15" ht="19.5" customHeight="1" x14ac:dyDescent="0.3">
      <c r="B26" s="174"/>
      <c r="C26" s="173" t="s">
        <v>178</v>
      </c>
      <c r="D26" s="171"/>
      <c r="E26" s="14"/>
      <c r="F26" s="14"/>
      <c r="G26" s="14"/>
      <c r="H26" s="14"/>
      <c r="I26" s="14"/>
      <c r="J26" s="14"/>
      <c r="K26" s="14"/>
      <c r="L26" s="14"/>
      <c r="M26" s="14"/>
      <c r="N26" s="14"/>
      <c r="O26" s="8"/>
    </row>
    <row r="27" spans="2:15" ht="19.5" customHeight="1" x14ac:dyDescent="0.3">
      <c r="B27" s="174"/>
      <c r="C27" s="173" t="s">
        <v>189</v>
      </c>
      <c r="D27" s="171"/>
      <c r="E27" s="8"/>
      <c r="F27" s="8"/>
      <c r="G27" s="8"/>
      <c r="H27" s="8"/>
      <c r="I27" s="8"/>
      <c r="J27" s="8"/>
      <c r="K27" s="8"/>
      <c r="L27" s="8"/>
      <c r="M27" s="8"/>
      <c r="N27" s="8"/>
      <c r="O27" s="8"/>
    </row>
    <row r="28" spans="2:15" ht="19.5" customHeight="1" x14ac:dyDescent="0.3">
      <c r="B28" s="174"/>
      <c r="C28" s="173"/>
      <c r="D28" s="171"/>
      <c r="E28" s="8"/>
      <c r="F28" s="8"/>
      <c r="G28" s="8"/>
      <c r="H28" s="8"/>
      <c r="I28" s="8"/>
      <c r="J28" s="8"/>
      <c r="K28" s="8"/>
      <c r="L28" s="8"/>
      <c r="M28" s="8"/>
      <c r="N28" s="8"/>
      <c r="O28" s="8"/>
    </row>
    <row r="29" spans="2:15" ht="19.5" customHeight="1" x14ac:dyDescent="0.3">
      <c r="B29" s="174"/>
      <c r="C29" s="173"/>
      <c r="D29" s="171"/>
      <c r="E29" s="8"/>
      <c r="F29" s="8"/>
      <c r="G29" s="8"/>
      <c r="H29" s="8"/>
      <c r="I29" s="8"/>
      <c r="J29" s="8"/>
      <c r="K29" s="8"/>
      <c r="L29" s="8"/>
      <c r="M29" s="8"/>
      <c r="N29" s="8"/>
      <c r="O29" s="8"/>
    </row>
    <row r="30" spans="2:15" ht="19.5" customHeight="1" x14ac:dyDescent="0.25">
      <c r="B30" s="8"/>
      <c r="C30" s="8"/>
      <c r="D30" s="8"/>
      <c r="E30" s="8"/>
      <c r="F30" s="8"/>
      <c r="G30" s="8"/>
      <c r="H30" s="8"/>
      <c r="I30" s="8"/>
      <c r="J30" s="8"/>
      <c r="K30" s="8"/>
      <c r="L30" s="8"/>
      <c r="M30" s="8"/>
      <c r="N30" s="8"/>
      <c r="O30" s="8"/>
    </row>
    <row r="31" spans="2:15" ht="19.5" customHeight="1" x14ac:dyDescent="0.25">
      <c r="B31" s="8"/>
      <c r="C31" s="8"/>
      <c r="D31" s="8"/>
      <c r="E31" s="8"/>
      <c r="F31" s="8"/>
      <c r="G31" s="8"/>
      <c r="H31" s="8"/>
      <c r="I31" s="8"/>
      <c r="J31" s="8"/>
      <c r="K31" s="8"/>
      <c r="L31" s="8"/>
      <c r="M31" s="8"/>
      <c r="N31" s="8"/>
      <c r="O31" s="8"/>
    </row>
    <row r="32" spans="2:15" ht="19.5" customHeight="1" x14ac:dyDescent="0.25">
      <c r="B32" s="8"/>
      <c r="C32" s="8"/>
      <c r="D32" s="8"/>
      <c r="E32" s="8"/>
      <c r="F32" s="8"/>
      <c r="G32" s="8"/>
      <c r="H32" s="8"/>
      <c r="I32" s="8"/>
      <c r="J32" s="8"/>
      <c r="K32" s="8"/>
      <c r="L32" s="8"/>
      <c r="M32" s="8"/>
      <c r="N32" s="8"/>
      <c r="O32" s="8"/>
    </row>
    <row r="33" spans="2:15" ht="19.5" customHeight="1" x14ac:dyDescent="0.25">
      <c r="B33" s="8"/>
      <c r="C33" s="8"/>
      <c r="D33" s="8"/>
      <c r="E33" s="8"/>
      <c r="F33" s="8"/>
      <c r="G33" s="8"/>
      <c r="H33" s="8"/>
      <c r="I33" s="8"/>
      <c r="J33" s="8"/>
      <c r="K33" s="8"/>
      <c r="L33" s="8"/>
      <c r="M33" s="8"/>
      <c r="N33" s="8"/>
      <c r="O33" s="8"/>
    </row>
    <row r="34" spans="2:15" ht="19.5" customHeight="1" x14ac:dyDescent="0.25">
      <c r="B34" s="8"/>
      <c r="C34" s="8"/>
      <c r="D34" s="8"/>
      <c r="E34" s="8"/>
      <c r="F34" s="8"/>
      <c r="G34" s="8"/>
      <c r="H34" s="8"/>
      <c r="I34" s="8"/>
      <c r="J34" s="8"/>
      <c r="K34" s="8"/>
      <c r="L34" s="8"/>
      <c r="M34" s="8"/>
      <c r="N34" s="8"/>
      <c r="O34" s="8"/>
    </row>
    <row r="35" spans="2:15" ht="19.5" customHeight="1" x14ac:dyDescent="0.25">
      <c r="B35" s="8"/>
      <c r="C35" s="8"/>
      <c r="D35" s="8"/>
      <c r="E35" s="8"/>
      <c r="F35" s="8"/>
      <c r="G35" s="8"/>
      <c r="H35" s="8"/>
      <c r="I35" s="8"/>
      <c r="J35" s="8"/>
      <c r="K35" s="8"/>
      <c r="L35" s="8"/>
      <c r="M35" s="8"/>
      <c r="N35" s="8"/>
      <c r="O35" s="8"/>
    </row>
    <row r="36" spans="2:15" ht="19.5" customHeight="1" x14ac:dyDescent="0.25">
      <c r="B36" s="8"/>
      <c r="C36" s="8"/>
      <c r="D36" s="8"/>
      <c r="E36" s="8"/>
      <c r="F36" s="8"/>
      <c r="G36" s="8"/>
      <c r="H36" s="8"/>
      <c r="I36" s="8"/>
      <c r="J36" s="8"/>
      <c r="K36" s="8"/>
      <c r="L36" s="8"/>
      <c r="M36" s="8"/>
      <c r="N36" s="8"/>
      <c r="O36" s="8"/>
    </row>
    <row r="37" spans="2:15" ht="19.5" customHeight="1" x14ac:dyDescent="0.25">
      <c r="B37" s="8"/>
      <c r="C37" s="8"/>
      <c r="D37" s="8"/>
      <c r="E37" s="8"/>
      <c r="F37" s="8"/>
      <c r="G37" s="8"/>
      <c r="H37" s="8"/>
      <c r="I37" s="8"/>
      <c r="J37" s="8"/>
      <c r="K37" s="8"/>
      <c r="L37" s="8"/>
      <c r="M37" s="8"/>
      <c r="N37" s="8"/>
      <c r="O37" s="8"/>
    </row>
    <row r="38" spans="2:15" ht="19.5" customHeight="1" x14ac:dyDescent="0.25"/>
    <row r="39" spans="2:15" ht="19.5" customHeight="1" x14ac:dyDescent="0.25"/>
    <row r="40" spans="2:15" ht="19.5" customHeight="1" x14ac:dyDescent="0.25"/>
    <row r="41" spans="2:15" ht="19.5" customHeight="1" x14ac:dyDescent="0.25"/>
    <row r="42" spans="2:15" ht="19.5" customHeight="1" x14ac:dyDescent="0.25"/>
    <row r="43" spans="2:15" ht="19.5" customHeight="1" x14ac:dyDescent="0.25"/>
    <row r="44" spans="2:15" ht="19.5" customHeight="1" x14ac:dyDescent="0.25"/>
  </sheetData>
  <hyperlinks>
    <hyperlink ref="C21" location="'Comps Table'!A1" display="Comps Table" xr:uid="{C8222C64-4426-4C2A-BEEB-6C59F3407A08}"/>
    <hyperlink ref="C22" location="'Microsoft DCF Model'!A1" display="Microsoft DCF Model" xr:uid="{54F00AA3-8CFD-4EAC-B522-6B90D67C32EF}"/>
    <hyperlink ref="C23" location="'Microsoft 3-Statement Model'!A1" display="Microsoft 3-Statement Model" xr:uid="{705CC84C-B242-4B78-951B-AE9C73D78C62}"/>
    <hyperlink ref="C24" location="'Apple DCF Model'!A1" display="Apple DCF Model" xr:uid="{A529DDE8-11A5-420B-A2B9-33DB3A3F19D2}"/>
    <hyperlink ref="C25" location="'Apple 3-Statement Model'!A1" display="Apple 3-Statement Model" xr:uid="{FF6CBF7F-C492-4A7F-8B77-721EE4539417}"/>
    <hyperlink ref="C26" location="'Sensitivity Analysis Table'!A1" display="Sensitivity Analysis Table" xr:uid="{3F816220-FF63-4FDF-B088-570E485ABFC6}"/>
    <hyperlink ref="C27" location="'Valuation Range Chart'!A1" display="Valuation Range Chart" xr:uid="{08121C30-7425-46E1-BBC1-B3EBF8582EBA}"/>
  </hyperlinks>
  <pageMargins left="0.7" right="0.7" top="0.75" bottom="0.75" header="0.3" footer="0.3"/>
  <pageSetup scale="6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9"/>
  <sheetViews>
    <sheetView showGridLines="0" topLeftCell="A24" zoomScale="90" zoomScaleNormal="90" workbookViewId="0">
      <selection activeCell="F49" sqref="F49"/>
    </sheetView>
  </sheetViews>
  <sheetFormatPr defaultColWidth="9.109375" defaultRowHeight="13.8" x14ac:dyDescent="0.25"/>
  <cols>
    <col min="1" max="1" width="12.77734375" style="1" bestFit="1" customWidth="1"/>
    <col min="2" max="2" width="53.6640625" style="1" bestFit="1" customWidth="1"/>
    <col min="3" max="3" width="12.6640625" style="1" bestFit="1" customWidth="1"/>
    <col min="4" max="4" width="10.33203125" style="1" bestFit="1" customWidth="1"/>
    <col min="5" max="5" width="19.5546875" style="1" bestFit="1" customWidth="1"/>
    <col min="6" max="6" width="15.21875" style="1" bestFit="1" customWidth="1"/>
    <col min="7" max="7" width="1.33203125" style="1" bestFit="1" customWidth="1"/>
    <col min="8" max="8" width="9.88671875" style="1" customWidth="1"/>
    <col min="9" max="9" width="9.109375" style="1"/>
    <col min="10" max="10" width="10" style="1" customWidth="1"/>
    <col min="11" max="11" width="2" style="1" customWidth="1"/>
    <col min="12" max="12" width="9.44140625" style="1" customWidth="1"/>
    <col min="13" max="13" width="10.88671875" style="1" customWidth="1"/>
    <col min="14" max="14" width="10.44140625" style="1" customWidth="1"/>
    <col min="15" max="15" width="10.109375" style="1" customWidth="1"/>
    <col min="16" max="16" width="1" style="1" customWidth="1"/>
    <col min="17" max="16384" width="9.109375" style="1"/>
  </cols>
  <sheetData>
    <row r="1" spans="1:21" ht="17.399999999999999" x14ac:dyDescent="0.4">
      <c r="A1" s="88"/>
      <c r="B1" s="89"/>
      <c r="C1" s="89"/>
      <c r="D1" s="90"/>
      <c r="E1" s="90"/>
      <c r="F1" s="90"/>
      <c r="G1" s="90"/>
      <c r="H1" s="90"/>
      <c r="I1" s="90"/>
      <c r="J1" s="90"/>
      <c r="K1" s="90"/>
      <c r="L1" s="90"/>
      <c r="M1" s="90"/>
      <c r="N1" s="90"/>
      <c r="O1" s="90"/>
      <c r="P1" s="90"/>
      <c r="Q1" s="90"/>
    </row>
    <row r="2" spans="1:21" ht="17.399999999999999" x14ac:dyDescent="0.4">
      <c r="A2" s="89"/>
      <c r="B2" s="91" t="s">
        <v>191</v>
      </c>
      <c r="C2" s="92"/>
      <c r="D2" s="92"/>
      <c r="E2" s="92"/>
      <c r="F2" s="90"/>
      <c r="G2" s="90"/>
      <c r="H2" s="90"/>
      <c r="I2" s="90"/>
      <c r="J2" s="90"/>
      <c r="K2" s="90"/>
      <c r="L2" s="90"/>
      <c r="M2" s="90"/>
      <c r="N2" s="90"/>
      <c r="O2" s="90"/>
      <c r="P2" s="90"/>
      <c r="Q2" s="90"/>
    </row>
    <row r="4" spans="1:21" x14ac:dyDescent="0.25">
      <c r="B4" s="222" t="s">
        <v>190</v>
      </c>
      <c r="C4" s="79" t="s">
        <v>11</v>
      </c>
      <c r="D4" s="80"/>
      <c r="E4" s="80"/>
      <c r="F4" s="77"/>
      <c r="G4" s="79" t="s">
        <v>12</v>
      </c>
      <c r="H4" s="80"/>
      <c r="I4" s="80"/>
      <c r="J4" s="79"/>
      <c r="K4" s="77"/>
      <c r="L4" s="79" t="s">
        <v>13</v>
      </c>
      <c r="M4" s="80"/>
      <c r="N4" s="80"/>
      <c r="O4" s="79"/>
      <c r="P4" s="81"/>
      <c r="Q4" s="94"/>
      <c r="R4" s="95"/>
      <c r="S4" s="95"/>
      <c r="T4" s="95"/>
      <c r="U4" s="95"/>
    </row>
    <row r="5" spans="1:21" ht="16.5" customHeight="1" x14ac:dyDescent="0.25">
      <c r="B5" s="78"/>
      <c r="C5" s="82" t="s">
        <v>1</v>
      </c>
      <c r="D5" s="82" t="s">
        <v>2</v>
      </c>
      <c r="E5" s="82" t="s">
        <v>32</v>
      </c>
      <c r="F5" s="83"/>
      <c r="G5" s="82" t="s">
        <v>3</v>
      </c>
      <c r="H5" s="82" t="s">
        <v>4</v>
      </c>
      <c r="I5" s="82" t="s">
        <v>5</v>
      </c>
      <c r="J5" s="82" t="s">
        <v>6</v>
      </c>
      <c r="K5" s="84"/>
      <c r="L5" s="82" t="s">
        <v>7</v>
      </c>
      <c r="M5" s="82" t="s">
        <v>8</v>
      </c>
      <c r="N5" s="82" t="s">
        <v>9</v>
      </c>
      <c r="O5" s="82" t="s">
        <v>10</v>
      </c>
      <c r="P5" s="85"/>
      <c r="Q5" s="96"/>
      <c r="R5" s="95"/>
      <c r="S5" s="95"/>
      <c r="T5" s="95"/>
      <c r="U5" s="95"/>
    </row>
    <row r="6" spans="1:21" ht="14.25" customHeight="1" x14ac:dyDescent="0.25">
      <c r="B6" s="78" t="s">
        <v>0</v>
      </c>
      <c r="C6" s="86" t="s">
        <v>15</v>
      </c>
      <c r="D6" s="86" t="s">
        <v>16</v>
      </c>
      <c r="E6" s="86" t="s">
        <v>16</v>
      </c>
      <c r="F6" s="83"/>
      <c r="G6" s="86" t="s">
        <v>179</v>
      </c>
      <c r="H6" s="86" t="s">
        <v>179</v>
      </c>
      <c r="I6" s="86" t="s">
        <v>179</v>
      </c>
      <c r="J6" s="86" t="s">
        <v>179</v>
      </c>
      <c r="K6" s="84"/>
      <c r="L6" s="86" t="s">
        <v>17</v>
      </c>
      <c r="M6" s="84" t="s">
        <v>17</v>
      </c>
      <c r="N6" s="84" t="s">
        <v>17</v>
      </c>
      <c r="O6" s="84" t="s">
        <v>17</v>
      </c>
      <c r="P6" s="87"/>
      <c r="Q6" s="223"/>
      <c r="R6" s="224"/>
      <c r="S6" s="95"/>
      <c r="T6" s="95"/>
      <c r="U6" s="95"/>
    </row>
    <row r="7" spans="1:21" ht="21" customHeight="1" x14ac:dyDescent="0.25">
      <c r="B7" s="73" t="s">
        <v>35</v>
      </c>
      <c r="C7" s="175">
        <f>'Apple DCF Model'!D12</f>
        <v>231.27</v>
      </c>
      <c r="D7" s="74">
        <f>'Apple DCF Model'!I31</f>
        <v>3495877.3200000003</v>
      </c>
      <c r="E7" s="74">
        <f>'Apple DCF Model'!I34</f>
        <v>3516456.3200000003</v>
      </c>
      <c r="F7" s="74"/>
      <c r="G7" s="74">
        <f>'Apple 3-Statement Model'!H26</f>
        <v>391035</v>
      </c>
      <c r="H7" s="74">
        <f>'Apple 3-Statement Model'!H34+'Apple 3-Statement Model'!H66</f>
        <v>134661</v>
      </c>
      <c r="I7" s="74">
        <f>'Apple 3-Statement Model'!H34</f>
        <v>123216</v>
      </c>
      <c r="J7" s="74">
        <f>'Apple 3-Statement Model'!H37</f>
        <v>93736</v>
      </c>
      <c r="K7" s="73"/>
      <c r="L7" s="75">
        <f>E7/G7</f>
        <v>8.9926894523508132</v>
      </c>
      <c r="M7" s="75">
        <f>E7/H7</f>
        <v>26.113398237054533</v>
      </c>
      <c r="N7" s="75">
        <f>E7/I7</f>
        <v>28.538958576808209</v>
      </c>
      <c r="O7" s="75">
        <f>D7/J7</f>
        <v>37.29492745583341</v>
      </c>
      <c r="P7" s="72"/>
      <c r="Q7" s="225"/>
      <c r="R7" s="226"/>
    </row>
    <row r="8" spans="1:21" ht="21" customHeight="1" x14ac:dyDescent="0.25">
      <c r="B8" s="73" t="s">
        <v>36</v>
      </c>
      <c r="C8" s="175">
        <f>'Microsoft DCF Model'!D12</f>
        <v>384.41</v>
      </c>
      <c r="D8" s="74">
        <f>'Microsoft DCF Model'!I31</f>
        <v>2869620.6500000004</v>
      </c>
      <c r="E8" s="74">
        <f>'Microsoft DCF Model'!I34</f>
        <v>2899966.6500000004</v>
      </c>
      <c r="F8" s="74"/>
      <c r="G8" s="74">
        <f>'Microsoft 3-Statement Model'!H26</f>
        <v>281724</v>
      </c>
      <c r="H8" s="74">
        <f>I8+'Microsoft 3-Statement Model'!H66</f>
        <v>196834</v>
      </c>
      <c r="I8" s="74">
        <f>'Microsoft 3-Statement Model'!H34+'Microsoft 3-Statement Model'!H66</f>
        <v>162681</v>
      </c>
      <c r="J8" s="74">
        <f>'Microsoft 3-Statement Model'!H37</f>
        <v>106733</v>
      </c>
      <c r="K8" s="73"/>
      <c r="L8" s="75">
        <f>E8/G8</f>
        <v>10.293644311453765</v>
      </c>
      <c r="M8" s="75">
        <f>E8/H8</f>
        <v>14.733057551032852</v>
      </c>
      <c r="N8" s="75">
        <f>E8/I8</f>
        <v>17.826093090158043</v>
      </c>
      <c r="O8" s="75">
        <f>D8/J8</f>
        <v>26.88597387874416</v>
      </c>
      <c r="P8" s="72"/>
      <c r="Q8" s="72"/>
    </row>
    <row r="9" spans="1:21" ht="21" customHeight="1" x14ac:dyDescent="0.25">
      <c r="B9" s="73"/>
      <c r="C9" s="73"/>
      <c r="D9" s="74"/>
      <c r="E9" s="74"/>
      <c r="F9" s="74"/>
      <c r="G9" s="74"/>
      <c r="H9" s="74"/>
      <c r="I9" s="74"/>
      <c r="J9" s="74"/>
      <c r="K9" s="73"/>
      <c r="L9" s="75"/>
      <c r="M9" s="75"/>
      <c r="N9" s="75"/>
      <c r="O9" s="75"/>
      <c r="P9" s="72"/>
      <c r="Q9" s="72"/>
      <c r="T9" s="93"/>
    </row>
    <row r="10" spans="1:21" ht="21" customHeight="1" x14ac:dyDescent="0.25">
      <c r="B10" s="73"/>
      <c r="C10" s="73"/>
      <c r="D10" s="74"/>
      <c r="E10" s="74"/>
      <c r="F10" s="74"/>
      <c r="G10" s="74"/>
      <c r="H10" s="74"/>
      <c r="I10" s="74"/>
      <c r="J10" s="74"/>
      <c r="K10" s="73"/>
      <c r="L10" s="75"/>
      <c r="M10" s="75"/>
      <c r="N10" s="75"/>
      <c r="O10" s="75"/>
      <c r="P10" s="72"/>
      <c r="Q10" s="72"/>
    </row>
    <row r="11" spans="1:21" ht="21" customHeight="1" x14ac:dyDescent="0.25">
      <c r="B11" s="232" t="s">
        <v>192</v>
      </c>
      <c r="C11" s="232"/>
      <c r="D11" s="232"/>
      <c r="E11" s="232"/>
      <c r="F11" s="232"/>
      <c r="G11" s="232"/>
      <c r="H11" s="97"/>
      <c r="I11" s="97"/>
      <c r="J11" s="97"/>
      <c r="K11" s="97"/>
      <c r="L11" s="97"/>
      <c r="M11" s="97"/>
      <c r="N11" s="97"/>
      <c r="O11" s="97"/>
      <c r="P11" s="97"/>
      <c r="Q11" s="72"/>
    </row>
    <row r="12" spans="1:21" ht="16.5" customHeight="1" x14ac:dyDescent="0.25">
      <c r="B12" s="78" t="s">
        <v>94</v>
      </c>
      <c r="C12" s="78" t="s">
        <v>95</v>
      </c>
      <c r="D12" s="78" t="s">
        <v>96</v>
      </c>
      <c r="E12" s="78" t="s">
        <v>97</v>
      </c>
      <c r="F12" s="78" t="s">
        <v>98</v>
      </c>
      <c r="G12" s="78"/>
      <c r="H12" s="98"/>
      <c r="I12" s="98"/>
      <c r="J12" s="98"/>
      <c r="K12" s="98"/>
      <c r="L12" s="98"/>
      <c r="M12" s="98"/>
      <c r="N12" s="98"/>
      <c r="O12" s="98"/>
      <c r="P12" s="96"/>
      <c r="Q12" s="72"/>
    </row>
    <row r="13" spans="1:21" ht="21" customHeight="1" x14ac:dyDescent="0.25">
      <c r="B13" s="77" t="s">
        <v>36</v>
      </c>
      <c r="C13" s="77" t="s">
        <v>35</v>
      </c>
      <c r="D13" s="77" t="s">
        <v>35</v>
      </c>
      <c r="E13" s="77" t="s">
        <v>36</v>
      </c>
      <c r="F13" s="77" t="s">
        <v>36</v>
      </c>
      <c r="G13" s="78"/>
      <c r="H13" s="76"/>
      <c r="I13" s="76"/>
      <c r="J13" s="76"/>
      <c r="K13" s="76"/>
      <c r="L13" s="76"/>
      <c r="M13" s="76"/>
      <c r="N13" s="76"/>
      <c r="O13" s="76"/>
      <c r="P13" s="76"/>
      <c r="Q13" s="72"/>
    </row>
    <row r="14" spans="1:21" ht="14.4" x14ac:dyDescent="0.3">
      <c r="B14" s="230" t="s">
        <v>194</v>
      </c>
      <c r="Q14" s="72"/>
    </row>
    <row r="15" spans="1:21" ht="115.2" x14ac:dyDescent="0.3">
      <c r="B15" s="231" t="s">
        <v>196</v>
      </c>
    </row>
    <row r="17" spans="2:17" x14ac:dyDescent="0.25">
      <c r="B17" s="233" t="s">
        <v>93</v>
      </c>
      <c r="C17" s="234"/>
      <c r="D17" s="234"/>
      <c r="E17" s="95"/>
      <c r="F17" s="95"/>
      <c r="G17" s="95"/>
      <c r="H17" s="95"/>
      <c r="I17" s="95"/>
      <c r="J17" s="95"/>
      <c r="K17" s="95"/>
      <c r="L17" s="95"/>
      <c r="M17" s="95"/>
      <c r="N17" s="95"/>
      <c r="O17" s="95"/>
      <c r="P17" s="95"/>
      <c r="Q17" s="95"/>
    </row>
    <row r="18" spans="2:17" ht="15.6" x14ac:dyDescent="0.3">
      <c r="B18" s="101" t="s">
        <v>99</v>
      </c>
      <c r="C18" s="103" t="s">
        <v>35</v>
      </c>
      <c r="D18" s="104" t="s">
        <v>36</v>
      </c>
      <c r="E18" s="99"/>
      <c r="F18" s="95"/>
      <c r="G18" s="95"/>
      <c r="H18" s="95"/>
      <c r="I18" s="95"/>
      <c r="J18" s="95"/>
      <c r="K18" s="95"/>
      <c r="L18" s="95"/>
      <c r="M18" s="95"/>
      <c r="N18" s="95"/>
      <c r="O18" s="95"/>
      <c r="P18" s="95"/>
      <c r="Q18" s="95"/>
    </row>
    <row r="19" spans="2:17" ht="15.6" x14ac:dyDescent="0.3">
      <c r="B19" s="100" t="s">
        <v>100</v>
      </c>
      <c r="C19" s="176">
        <f>'Apple DCF Model'!D12</f>
        <v>231.27</v>
      </c>
      <c r="D19" s="176">
        <f>'Microsoft DCF Model'!D12</f>
        <v>384.41</v>
      </c>
    </row>
    <row r="20" spans="2:17" ht="15.6" x14ac:dyDescent="0.3">
      <c r="B20" s="100" t="s">
        <v>101</v>
      </c>
      <c r="C20" s="177">
        <f>'Apple DCF Model'!D36</f>
        <v>236.72634287185238</v>
      </c>
      <c r="D20" s="177">
        <f>'Microsoft DCF Model'!D36</f>
        <v>414.03185394114746</v>
      </c>
    </row>
    <row r="21" spans="2:17" ht="15.6" x14ac:dyDescent="0.3">
      <c r="B21" s="102" t="s">
        <v>102</v>
      </c>
      <c r="C21" s="178">
        <f>'Apple DCF Model'!N36</f>
        <v>2.3592955730757925E-2</v>
      </c>
      <c r="D21" s="178">
        <f>'Microsoft DCF Model'!N36</f>
        <v>7.7057969202537491E-2</v>
      </c>
    </row>
    <row r="22" spans="2:17" ht="15.6" x14ac:dyDescent="0.3">
      <c r="B22" s="102" t="s">
        <v>193</v>
      </c>
      <c r="C22" s="178">
        <v>0.04</v>
      </c>
      <c r="D22" s="178">
        <v>2.5000000000000001E-2</v>
      </c>
    </row>
    <row r="23" spans="2:17" ht="15.6" x14ac:dyDescent="0.3">
      <c r="B23" s="100" t="s">
        <v>41</v>
      </c>
      <c r="C23" s="178">
        <f>0.075</f>
        <v>7.4999999999999997E-2</v>
      </c>
      <c r="D23" s="178">
        <f>'Microsoft DCF Model'!D7</f>
        <v>0.09</v>
      </c>
    </row>
    <row r="24" spans="2:17" ht="15.6" x14ac:dyDescent="0.3">
      <c r="B24" s="100" t="s">
        <v>182</v>
      </c>
      <c r="C24" s="227">
        <f>'Apple DCF Model'!N21</f>
        <v>4436336.9542255532</v>
      </c>
      <c r="D24" s="228">
        <f>'Microsoft DCF Model'!N21</f>
        <v>3995349.9386229087</v>
      </c>
    </row>
    <row r="25" spans="2:17" ht="15.6" x14ac:dyDescent="0.3">
      <c r="B25" s="100" t="s">
        <v>180</v>
      </c>
      <c r="C25" s="227">
        <f>'Apple DCF Model'!D34</f>
        <v>3578355.3988509206</v>
      </c>
      <c r="D25" s="227">
        <f>'Microsoft DCF Model'!D34</f>
        <v>3090747.7896706657</v>
      </c>
    </row>
    <row r="26" spans="2:17" ht="15.6" x14ac:dyDescent="0.3">
      <c r="B26" s="100" t="s">
        <v>181</v>
      </c>
      <c r="C26" s="227">
        <f>'Apple DCF Model'!D31</f>
        <v>3598934.3988509206</v>
      </c>
      <c r="D26" s="227">
        <f>'Microsoft DCF Model'!D31</f>
        <v>3121093.7896706657</v>
      </c>
    </row>
    <row r="48" spans="1:2" ht="14.4" x14ac:dyDescent="0.3">
      <c r="A48" s="229"/>
      <c r="B48" s="230" t="s">
        <v>194</v>
      </c>
    </row>
    <row r="49" spans="1:2" ht="172.8" x14ac:dyDescent="0.3">
      <c r="A49" s="229"/>
      <c r="B49" s="231" t="s">
        <v>195</v>
      </c>
    </row>
  </sheetData>
  <mergeCells count="2">
    <mergeCell ref="B11:G11"/>
    <mergeCell ref="B17:D1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7B79-11C0-4E84-9EFC-CBA82BD2F312}">
  <dimension ref="B1:N51"/>
  <sheetViews>
    <sheetView zoomScale="80" zoomScaleNormal="80" workbookViewId="0">
      <selection activeCell="E9" sqref="E9"/>
    </sheetView>
  </sheetViews>
  <sheetFormatPr defaultColWidth="9.109375" defaultRowHeight="15.6" customHeight="1" x14ac:dyDescent="0.35"/>
  <cols>
    <col min="1" max="1" width="3.5546875" style="22" customWidth="1"/>
    <col min="2" max="2" width="12.6640625" style="22" customWidth="1"/>
    <col min="3" max="3" width="12.44140625" style="22" customWidth="1"/>
    <col min="4" max="4" width="11.33203125" style="23" customWidth="1"/>
    <col min="5" max="9" width="11.5546875" style="22" customWidth="1"/>
    <col min="10" max="14" width="12.5546875" style="22" customWidth="1"/>
    <col min="15" max="16384" width="9.109375" style="22"/>
  </cols>
  <sheetData>
    <row r="1" spans="2:14" s="6" customFormat="1" ht="55.05" customHeight="1" x14ac:dyDescent="0.4">
      <c r="B1" s="16" t="s">
        <v>37</v>
      </c>
      <c r="C1" s="17"/>
      <c r="D1" s="17"/>
      <c r="E1" s="18"/>
      <c r="F1" s="18"/>
      <c r="G1" s="18"/>
      <c r="H1" s="18"/>
      <c r="I1" s="18"/>
      <c r="J1" s="18"/>
      <c r="K1" s="18"/>
      <c r="L1" s="18"/>
      <c r="M1" s="18"/>
      <c r="N1" s="18"/>
    </row>
    <row r="3" spans="2:14" s="6" customFormat="1" ht="21" x14ac:dyDescent="0.35">
      <c r="B3" s="19" t="s">
        <v>38</v>
      </c>
      <c r="C3" s="20"/>
      <c r="D3" s="20"/>
      <c r="E3" s="20"/>
      <c r="F3" s="20"/>
      <c r="G3" s="20"/>
      <c r="H3" s="20"/>
      <c r="I3" s="20"/>
      <c r="J3" s="20"/>
      <c r="K3" s="20"/>
      <c r="L3" s="20"/>
      <c r="M3" s="20"/>
      <c r="N3" s="20"/>
    </row>
    <row r="4" spans="2:14" ht="15.6" customHeight="1" x14ac:dyDescent="0.35">
      <c r="B4" s="21"/>
      <c r="E4" s="24"/>
      <c r="F4" s="24"/>
      <c r="G4" s="24"/>
      <c r="H4" s="24"/>
      <c r="I4" s="24"/>
    </row>
    <row r="5" spans="2:14" ht="15.6" customHeight="1" thickBot="1" x14ac:dyDescent="0.4">
      <c r="B5" s="25" t="s">
        <v>39</v>
      </c>
      <c r="C5" s="26"/>
      <c r="D5" s="26"/>
      <c r="E5" s="24"/>
    </row>
    <row r="6" spans="2:14" ht="15.6" customHeight="1" x14ac:dyDescent="0.35">
      <c r="B6" s="27" t="s">
        <v>40</v>
      </c>
      <c r="C6" s="28"/>
      <c r="D6" s="29">
        <f>'[1] 3-Statement Model'!$M$14</f>
        <v>0.16806955013145408</v>
      </c>
      <c r="E6" s="24"/>
    </row>
    <row r="7" spans="2:14" ht="15.6" customHeight="1" x14ac:dyDescent="0.35">
      <c r="B7" s="30" t="s">
        <v>41</v>
      </c>
      <c r="D7" s="31">
        <v>0.09</v>
      </c>
    </row>
    <row r="8" spans="2:14" ht="15.6" customHeight="1" x14ac:dyDescent="0.35">
      <c r="B8" s="22" t="s">
        <v>42</v>
      </c>
      <c r="D8" s="32">
        <v>2.5000000000000001E-2</v>
      </c>
    </row>
    <row r="9" spans="2:14" ht="15.6" customHeight="1" x14ac:dyDescent="0.35">
      <c r="B9" s="22" t="s">
        <v>43</v>
      </c>
      <c r="D9" s="33" t="s">
        <v>44</v>
      </c>
    </row>
    <row r="10" spans="2:14" ht="15.6" customHeight="1" x14ac:dyDescent="0.35">
      <c r="B10" s="22" t="s">
        <v>45</v>
      </c>
      <c r="D10" s="34">
        <v>45838</v>
      </c>
    </row>
    <row r="11" spans="2:14" ht="15.6" customHeight="1" x14ac:dyDescent="0.35">
      <c r="B11" s="22" t="s">
        <v>46</v>
      </c>
      <c r="D11" s="35">
        <v>45838</v>
      </c>
    </row>
    <row r="12" spans="2:14" ht="15.6" customHeight="1" x14ac:dyDescent="0.35">
      <c r="B12" s="22" t="s">
        <v>47</v>
      </c>
      <c r="D12" s="36">
        <v>384.41</v>
      </c>
    </row>
    <row r="13" spans="2:14" ht="15.6" customHeight="1" x14ac:dyDescent="0.35">
      <c r="B13" s="22" t="s">
        <v>48</v>
      </c>
      <c r="D13" s="37">
        <v>7465</v>
      </c>
    </row>
    <row r="14" spans="2:14" ht="15.6" customHeight="1" x14ac:dyDescent="0.35">
      <c r="B14" s="22" t="s">
        <v>49</v>
      </c>
      <c r="D14" s="37">
        <f>'[1] 3-Statement Model'!H51</f>
        <v>60588</v>
      </c>
    </row>
    <row r="15" spans="2:14" ht="15.6" customHeight="1" x14ac:dyDescent="0.35">
      <c r="B15" s="22" t="s">
        <v>50</v>
      </c>
      <c r="D15" s="37">
        <f>'[1] 3-Statement Model'!H43</f>
        <v>30242</v>
      </c>
    </row>
    <row r="16" spans="2:14" ht="15.6" customHeight="1" x14ac:dyDescent="0.35">
      <c r="B16" s="22" t="s">
        <v>51</v>
      </c>
      <c r="D16" s="38">
        <f>'[1] 3-Statement Model'!M18</f>
        <v>-40255.25</v>
      </c>
    </row>
    <row r="17" spans="2:14" ht="15.6" customHeight="1" x14ac:dyDescent="0.35">
      <c r="D17" s="39"/>
      <c r="E17" s="40"/>
      <c r="F17" s="40"/>
      <c r="G17" s="40"/>
      <c r="H17" s="40"/>
      <c r="I17" s="40"/>
      <c r="J17" s="40"/>
    </row>
    <row r="18" spans="2:14" ht="15.6" customHeight="1" thickBot="1" x14ac:dyDescent="0.4">
      <c r="B18" s="41" t="s">
        <v>52</v>
      </c>
      <c r="C18" s="42"/>
      <c r="D18" s="43" t="s">
        <v>53</v>
      </c>
      <c r="E18" s="44">
        <f>2026</f>
        <v>2026</v>
      </c>
      <c r="F18" s="44">
        <f>E18+1</f>
        <v>2027</v>
      </c>
      <c r="G18" s="44">
        <f t="shared" ref="G18:I18" si="0">F18+1</f>
        <v>2028</v>
      </c>
      <c r="H18" s="44">
        <f t="shared" si="0"/>
        <v>2029</v>
      </c>
      <c r="I18" s="44">
        <f t="shared" si="0"/>
        <v>2030</v>
      </c>
      <c r="J18" s="45" t="s">
        <v>54</v>
      </c>
    </row>
    <row r="19" spans="2:14" ht="15.6" customHeight="1" thickBot="1" x14ac:dyDescent="0.4">
      <c r="B19" s="40" t="s">
        <v>55</v>
      </c>
      <c r="C19" s="40"/>
      <c r="D19" s="46">
        <v>45838</v>
      </c>
      <c r="E19" s="47">
        <f>D19+365</f>
        <v>46203</v>
      </c>
      <c r="F19" s="47">
        <f t="shared" ref="F19" si="1">E19+365</f>
        <v>46568</v>
      </c>
      <c r="G19" s="47">
        <f>F19+366</f>
        <v>46934</v>
      </c>
      <c r="H19" s="47">
        <f>G19+365</f>
        <v>47299</v>
      </c>
      <c r="I19" s="47">
        <f>H19+365</f>
        <v>47664</v>
      </c>
      <c r="J19" s="46">
        <f>I19</f>
        <v>47664</v>
      </c>
      <c r="L19" s="48" t="s">
        <v>56</v>
      </c>
      <c r="M19" s="49"/>
      <c r="N19" s="49"/>
    </row>
    <row r="20" spans="2:14" ht="15.6" customHeight="1" x14ac:dyDescent="0.35">
      <c r="B20" s="22" t="s">
        <v>5</v>
      </c>
      <c r="D20" s="22" t="s">
        <v>57</v>
      </c>
      <c r="E20" s="50">
        <f>'[1] 3-Statement Model'!I34</f>
        <v>140028.12592786807</v>
      </c>
      <c r="F20" s="50">
        <f>'[1] 3-Statement Model'!J34</f>
        <v>157524.24248985498</v>
      </c>
      <c r="G20" s="50">
        <f>'[1] 3-Statement Model'!K34</f>
        <v>177206.44911569319</v>
      </c>
      <c r="H20" s="50">
        <f>'[1] 3-Statement Model'!L34</f>
        <v>199347.891548916</v>
      </c>
      <c r="I20" s="50">
        <f>'[1] 3-Statement Model'!M34</f>
        <v>224255.84431779635</v>
      </c>
      <c r="J20" s="22" t="s">
        <v>57</v>
      </c>
      <c r="L20" s="40" t="s">
        <v>58</v>
      </c>
      <c r="M20" s="40"/>
      <c r="N20" s="51">
        <f>((I25)*(1+$D$8)/($D$7-$D$8))</f>
        <v>2751771.4135130616</v>
      </c>
    </row>
    <row r="21" spans="2:14" ht="15.6" customHeight="1" x14ac:dyDescent="0.35">
      <c r="B21" s="22" t="s">
        <v>59</v>
      </c>
      <c r="D21" s="22" t="s">
        <v>57</v>
      </c>
      <c r="E21" s="52">
        <f>E20*$D$6</f>
        <v>23534.464130447388</v>
      </c>
      <c r="F21" s="52">
        <f t="shared" ref="F21:G21" si="2">F20*$D$6</f>
        <v>26475.028570068011</v>
      </c>
      <c r="G21" s="52">
        <f t="shared" si="2"/>
        <v>29783.008183266964</v>
      </c>
      <c r="H21" s="52">
        <f>H20*$D$6</f>
        <v>33504.31045228021</v>
      </c>
      <c r="I21" s="52">
        <f>I20*$D$6</f>
        <v>37690.578868841432</v>
      </c>
      <c r="J21" s="22" t="s">
        <v>57</v>
      </c>
      <c r="L21" s="22" t="s">
        <v>14</v>
      </c>
      <c r="N21" s="53">
        <f>AVERAGE(N20,N22)</f>
        <v>3995349.9386229087</v>
      </c>
    </row>
    <row r="22" spans="2:14" ht="15.6" customHeight="1" x14ac:dyDescent="0.35">
      <c r="B22" s="22" t="s">
        <v>60</v>
      </c>
      <c r="D22" s="22" t="s">
        <v>57</v>
      </c>
      <c r="E22" s="54">
        <f>'[1] 3-Statement Model'!I66</f>
        <v>33550.678535999738</v>
      </c>
      <c r="F22" s="54">
        <f>'[1] 3-Statement Model'!J66</f>
        <v>34529.589284165711</v>
      </c>
      <c r="G22" s="54">
        <f>'[1] 3-Statement Model'!K66</f>
        <v>35365.572738914016</v>
      </c>
      <c r="H22" s="54">
        <f>'[1] 3-Statement Model'!L66</f>
        <v>36079.49720845557</v>
      </c>
      <c r="I22" s="54">
        <f>'[1] 3-Statement Model'!M66</f>
        <v>36689.184093184216</v>
      </c>
      <c r="J22" s="22" t="s">
        <v>57</v>
      </c>
      <c r="L22" s="22" t="s">
        <v>8</v>
      </c>
      <c r="N22" s="55">
        <f>((I20+I21)*20)</f>
        <v>5238928.4637327557</v>
      </c>
    </row>
    <row r="23" spans="2:14" ht="15.6" customHeight="1" x14ac:dyDescent="0.35">
      <c r="B23" s="22" t="s">
        <v>61</v>
      </c>
      <c r="D23" s="22" t="s">
        <v>57</v>
      </c>
      <c r="E23" s="56">
        <f>ABS('[1] 3-Statement Model'!I72)</f>
        <v>40255.25</v>
      </c>
      <c r="F23" s="56">
        <f>ABS('[1] 3-Statement Model'!J72)</f>
        <v>40255.25</v>
      </c>
      <c r="G23" s="56">
        <f>ABS('[1] 3-Statement Model'!K72)</f>
        <v>40255.25</v>
      </c>
      <c r="H23" s="56">
        <f>ABS('[1] 3-Statement Model'!L72)</f>
        <v>40255.25</v>
      </c>
      <c r="I23" s="56">
        <f>ABS('[1] 3-Statement Model'!M72)</f>
        <v>40255.25</v>
      </c>
      <c r="J23" s="22" t="s">
        <v>57</v>
      </c>
    </row>
    <row r="24" spans="2:14" ht="15.6" customHeight="1" x14ac:dyDescent="0.35">
      <c r="B24" s="22" t="s">
        <v>62</v>
      </c>
      <c r="D24" s="22" t="s">
        <v>57</v>
      </c>
      <c r="E24" s="38">
        <f>'[1] 3-Statement Model'!I92</f>
        <v>4647.5137877337111</v>
      </c>
      <c r="F24" s="38">
        <f>'[1] 3-Statement Model'!J92</f>
        <v>5968.2902092144723</v>
      </c>
      <c r="G24" s="38">
        <f>'[1] 3-Statement Model'!K92</f>
        <v>6714.0111169553056</v>
      </c>
      <c r="H24" s="38">
        <f>'[1] 3-Statement Model'!L92</f>
        <v>7552.9077337766939</v>
      </c>
      <c r="I24" s="38">
        <f>'[1] 3-Statement Model'!M92</f>
        <v>8496.6220998474164</v>
      </c>
      <c r="J24" s="22" t="s">
        <v>57</v>
      </c>
    </row>
    <row r="25" spans="2:14" ht="15.6" customHeight="1" x14ac:dyDescent="0.35">
      <c r="B25" s="22" t="s">
        <v>63</v>
      </c>
      <c r="D25" s="22" t="s">
        <v>57</v>
      </c>
      <c r="E25" s="57">
        <f>((E20)-(E21)+(E22)-(E23)-(E24))</f>
        <v>105141.57654568669</v>
      </c>
      <c r="F25" s="57">
        <f t="shared" ref="F25:H25" si="3">((F20)-(F21)+(F22)-(F23)-(F24))</f>
        <v>119355.26299473821</v>
      </c>
      <c r="G25" s="57">
        <f t="shared" si="3"/>
        <v>135819.75255438493</v>
      </c>
      <c r="H25" s="57">
        <f t="shared" si="3"/>
        <v>154114.92057131467</v>
      </c>
      <c r="I25" s="57">
        <f>((I20)-(I21)+(I22)-(I23)-(I24))</f>
        <v>174502.57744229172</v>
      </c>
      <c r="J25" s="22" t="s">
        <v>57</v>
      </c>
    </row>
    <row r="26" spans="2:14" ht="15.6" customHeight="1" x14ac:dyDescent="0.35">
      <c r="B26" s="22" t="s">
        <v>64</v>
      </c>
      <c r="D26" s="58">
        <f>-I34</f>
        <v>-2899966.6500000004</v>
      </c>
      <c r="J26" s="58">
        <f>N21</f>
        <v>3995349.9386229087</v>
      </c>
    </row>
    <row r="27" spans="2:14" ht="15.6" customHeight="1" x14ac:dyDescent="0.35">
      <c r="B27" s="22" t="s">
        <v>65</v>
      </c>
      <c r="D27" s="59">
        <f>D26</f>
        <v>-2899966.6500000004</v>
      </c>
      <c r="E27" s="57">
        <f>E25</f>
        <v>105141.57654568669</v>
      </c>
      <c r="F27" s="57">
        <f t="shared" ref="F27:H27" si="4">F25</f>
        <v>119355.26299473821</v>
      </c>
      <c r="G27" s="57">
        <f t="shared" si="4"/>
        <v>135819.75255438493</v>
      </c>
      <c r="H27" s="57">
        <f t="shared" si="4"/>
        <v>154114.92057131467</v>
      </c>
      <c r="I27" s="57">
        <f>I25</f>
        <v>174502.57744229172</v>
      </c>
      <c r="J27" s="57">
        <f>I27+J26</f>
        <v>4169852.5160652003</v>
      </c>
    </row>
    <row r="28" spans="2:14" ht="15.6" customHeight="1" x14ac:dyDescent="0.35">
      <c r="D28" s="51"/>
      <c r="E28" s="51"/>
      <c r="F28" s="51"/>
      <c r="G28" s="51"/>
      <c r="H28" s="51"/>
      <c r="I28" s="51"/>
      <c r="J28" s="51"/>
    </row>
    <row r="30" spans="2:14" ht="15.6" customHeight="1" thickBot="1" x14ac:dyDescent="0.4">
      <c r="B30" s="48" t="s">
        <v>66</v>
      </c>
      <c r="C30" s="49"/>
      <c r="D30" s="49"/>
      <c r="G30" s="48" t="s">
        <v>67</v>
      </c>
      <c r="H30" s="49"/>
      <c r="I30" s="49"/>
      <c r="L30" s="48" t="s">
        <v>68</v>
      </c>
      <c r="M30" s="49"/>
      <c r="N30" s="49"/>
    </row>
    <row r="31" spans="2:14" ht="15.6" customHeight="1" x14ac:dyDescent="0.35">
      <c r="B31" s="40" t="s">
        <v>69</v>
      </c>
      <c r="C31" s="40"/>
      <c r="D31" s="51">
        <f>E25/(1+$D$7)^1+F25/(1+$D$7)^2+G25/(1+$D$7)^3+H25/(1+$D$7)^4+I25/(1+$D$7)^5+J26/(1+$D$7)^5</f>
        <v>3121093.7896706657</v>
      </c>
      <c r="G31" s="40" t="s">
        <v>2</v>
      </c>
      <c r="H31" s="40"/>
      <c r="I31" s="51">
        <f>D13*D12</f>
        <v>2869620.6500000004</v>
      </c>
      <c r="L31" s="40" t="s">
        <v>70</v>
      </c>
      <c r="M31" s="40"/>
      <c r="N31" s="60">
        <f>(N37/N35-1)</f>
        <v>7.7057969202537491E-2</v>
      </c>
    </row>
    <row r="32" spans="2:14" ht="15.6" customHeight="1" x14ac:dyDescent="0.35">
      <c r="B32" s="22" t="s">
        <v>71</v>
      </c>
      <c r="D32" s="56">
        <f>+D15</f>
        <v>30242</v>
      </c>
      <c r="G32" s="22" t="s">
        <v>72</v>
      </c>
      <c r="I32" s="56">
        <f>D14</f>
        <v>60588</v>
      </c>
      <c r="L32" s="22" t="s">
        <v>73</v>
      </c>
      <c r="N32" s="61">
        <f>IRR(D27:J27)</f>
        <v>9.7473145947013506E-2</v>
      </c>
    </row>
    <row r="33" spans="2:14" ht="15.6" customHeight="1" x14ac:dyDescent="0.35">
      <c r="B33" s="22" t="s">
        <v>74</v>
      </c>
      <c r="D33" s="56">
        <f>+D14</f>
        <v>60588</v>
      </c>
      <c r="G33" s="22" t="s">
        <v>75</v>
      </c>
      <c r="I33" s="56">
        <f>+D15</f>
        <v>30242</v>
      </c>
    </row>
    <row r="34" spans="2:14" ht="15.6" customHeight="1" thickBot="1" x14ac:dyDescent="0.4">
      <c r="B34" s="22" t="s">
        <v>76</v>
      </c>
      <c r="D34" s="57">
        <f>D31+D32-D33</f>
        <v>3090747.7896706657</v>
      </c>
      <c r="G34" s="22" t="s">
        <v>69</v>
      </c>
      <c r="I34" s="57">
        <f>I31+I32-I33</f>
        <v>2899966.6500000004</v>
      </c>
      <c r="L34" s="48" t="s">
        <v>77</v>
      </c>
      <c r="M34" s="49"/>
      <c r="N34" s="49"/>
    </row>
    <row r="35" spans="2:14" ht="15.6" customHeight="1" x14ac:dyDescent="0.35">
      <c r="D35" s="22"/>
      <c r="I35" s="62"/>
      <c r="L35" s="22" t="s">
        <v>67</v>
      </c>
      <c r="N35" s="63">
        <f>I36</f>
        <v>384.41</v>
      </c>
    </row>
    <row r="36" spans="2:14" ht="15.6" customHeight="1" x14ac:dyDescent="0.35">
      <c r="B36" s="22" t="s">
        <v>78</v>
      </c>
      <c r="D36" s="63">
        <f>D34/D13</f>
        <v>414.03185394114746</v>
      </c>
      <c r="G36" s="22" t="s">
        <v>78</v>
      </c>
      <c r="I36" s="63">
        <f>D12</f>
        <v>384.41</v>
      </c>
      <c r="L36" s="22" t="s">
        <v>79</v>
      </c>
      <c r="N36" s="64">
        <f>N37/N35-1</f>
        <v>7.7057969202537491E-2</v>
      </c>
    </row>
    <row r="37" spans="2:14" ht="15.6" customHeight="1" x14ac:dyDescent="0.35">
      <c r="D37" s="22"/>
      <c r="L37" s="22" t="s">
        <v>66</v>
      </c>
      <c r="N37" s="63">
        <f>D36</f>
        <v>414.03185394114746</v>
      </c>
    </row>
    <row r="38" spans="2:14" ht="15.6" customHeight="1" x14ac:dyDescent="0.35">
      <c r="I38" s="21"/>
    </row>
    <row r="39" spans="2:14" ht="15.6" customHeight="1" x14ac:dyDescent="0.35">
      <c r="H39" s="21"/>
    </row>
    <row r="40" spans="2:14" ht="15.6" customHeight="1" thickBot="1" x14ac:dyDescent="0.4">
      <c r="B40" s="48"/>
      <c r="C40" s="49"/>
      <c r="D40" s="65"/>
      <c r="E40" s="49"/>
      <c r="F40" s="49"/>
      <c r="G40" s="49"/>
      <c r="H40" s="49"/>
      <c r="I40" s="49"/>
      <c r="J40" s="49"/>
      <c r="K40" s="49"/>
      <c r="L40" s="49"/>
      <c r="M40" s="49"/>
      <c r="N40" s="49"/>
    </row>
    <row r="41" spans="2:14" ht="15.6" customHeight="1" x14ac:dyDescent="0.35">
      <c r="B41" s="40"/>
      <c r="C41" s="40"/>
      <c r="D41" s="66"/>
      <c r="E41" s="40"/>
      <c r="F41" s="40"/>
      <c r="G41" s="40"/>
      <c r="H41" s="40"/>
      <c r="I41" s="40"/>
      <c r="J41" s="40"/>
      <c r="K41" s="40"/>
      <c r="L41" s="40"/>
      <c r="M41" s="40"/>
      <c r="N41" s="67"/>
    </row>
    <row r="42" spans="2:14" ht="15.6" customHeight="1" x14ac:dyDescent="0.35">
      <c r="N42" s="68"/>
    </row>
    <row r="43" spans="2:14" ht="15.6" customHeight="1" x14ac:dyDescent="0.4">
      <c r="B43" s="200"/>
      <c r="C43" s="201"/>
      <c r="D43" s="201"/>
      <c r="E43" s="202"/>
      <c r="F43" s="202"/>
      <c r="G43" s="202"/>
      <c r="H43" s="202"/>
      <c r="N43" s="68"/>
    </row>
    <row r="44" spans="2:14" ht="15.6" customHeight="1" x14ac:dyDescent="0.35">
      <c r="B44" s="235"/>
      <c r="C44" s="235"/>
      <c r="D44" s="235"/>
      <c r="E44" s="235"/>
      <c r="F44" s="235"/>
      <c r="G44" s="235"/>
      <c r="H44" s="235"/>
      <c r="N44" s="68"/>
    </row>
    <row r="45" spans="2:14" ht="15.6" customHeight="1" x14ac:dyDescent="0.35">
      <c r="B45" s="68"/>
      <c r="C45" s="68"/>
      <c r="D45" s="68"/>
      <c r="E45" s="68"/>
      <c r="F45" s="68"/>
      <c r="G45" s="68"/>
      <c r="H45" s="68"/>
      <c r="N45" s="68"/>
    </row>
    <row r="46" spans="2:14" ht="15.6" customHeight="1" x14ac:dyDescent="0.35">
      <c r="B46" s="68"/>
      <c r="C46" s="221"/>
      <c r="D46" s="192"/>
      <c r="E46" s="192"/>
      <c r="F46" s="192"/>
      <c r="G46" s="192"/>
      <c r="H46" s="204"/>
      <c r="N46" s="68"/>
    </row>
    <row r="47" spans="2:14" ht="15.6" customHeight="1" x14ac:dyDescent="0.35">
      <c r="B47" s="68"/>
      <c r="C47" s="205"/>
      <c r="D47" s="106"/>
      <c r="E47" s="206"/>
      <c r="F47" s="106"/>
      <c r="G47" s="207"/>
      <c r="H47" s="68"/>
      <c r="N47" s="69"/>
    </row>
    <row r="48" spans="2:14" ht="15.6" customHeight="1" x14ac:dyDescent="0.35">
      <c r="B48" s="68"/>
      <c r="C48" s="205"/>
      <c r="D48" s="106"/>
      <c r="E48" s="206"/>
      <c r="F48" s="106"/>
      <c r="G48" s="207"/>
      <c r="H48" s="68"/>
      <c r="N48" s="70"/>
    </row>
    <row r="49" spans="2:8" ht="15.6" customHeight="1" x14ac:dyDescent="0.35">
      <c r="B49" s="68"/>
      <c r="C49" s="205"/>
      <c r="D49" s="106"/>
      <c r="E49" s="206"/>
      <c r="F49" s="106"/>
      <c r="G49" s="207"/>
      <c r="H49" s="68"/>
    </row>
    <row r="50" spans="2:8" ht="15.6" customHeight="1" x14ac:dyDescent="0.35">
      <c r="B50" s="68"/>
      <c r="C50" s="205"/>
      <c r="D50" s="106"/>
      <c r="E50" s="206"/>
      <c r="F50" s="106"/>
      <c r="G50" s="207"/>
      <c r="H50" s="68"/>
    </row>
    <row r="51" spans="2:8" ht="15.6" customHeight="1" x14ac:dyDescent="0.35">
      <c r="B51" s="68"/>
      <c r="C51" s="205"/>
      <c r="D51" s="106"/>
      <c r="E51" s="206"/>
      <c r="F51" s="106"/>
      <c r="G51" s="207"/>
      <c r="H51" s="68"/>
    </row>
  </sheetData>
  <mergeCells count="1">
    <mergeCell ref="B44:H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2BA4-DCE5-4931-BFBE-9AFE60C5C6E2}">
  <dimension ref="A1:Z1000"/>
  <sheetViews>
    <sheetView topLeftCell="A35" workbookViewId="0">
      <selection activeCell="C25" sqref="C25"/>
    </sheetView>
  </sheetViews>
  <sheetFormatPr defaultColWidth="14.44140625" defaultRowHeight="15" customHeight="1" outlineLevelRow="1" x14ac:dyDescent="0.25"/>
  <cols>
    <col min="1" max="1" width="44.109375" style="1" bestFit="1" customWidth="1"/>
    <col min="2" max="2" width="12.44140625" style="1" customWidth="1"/>
    <col min="3" max="3" width="11.109375" style="1" customWidth="1"/>
    <col min="4" max="13" width="11.5546875" style="1" customWidth="1"/>
    <col min="14" max="26" width="9.109375" style="1" customWidth="1"/>
    <col min="27" max="16384" width="14.44140625" style="1"/>
  </cols>
  <sheetData>
    <row r="1" spans="1:26" ht="15.6" x14ac:dyDescent="0.3">
      <c r="A1" s="113"/>
      <c r="B1" s="114"/>
      <c r="C1" s="115"/>
      <c r="D1" s="236" t="s">
        <v>105</v>
      </c>
      <c r="E1" s="237"/>
      <c r="F1" s="237"/>
      <c r="G1" s="237"/>
      <c r="H1" s="237"/>
      <c r="I1" s="238" t="s">
        <v>106</v>
      </c>
      <c r="J1" s="239"/>
      <c r="K1" s="239"/>
      <c r="L1" s="239"/>
      <c r="M1" s="239"/>
      <c r="N1" s="116"/>
      <c r="O1" s="116"/>
      <c r="P1" s="116"/>
      <c r="Q1" s="116"/>
      <c r="R1" s="116"/>
      <c r="S1" s="116"/>
      <c r="T1" s="116"/>
      <c r="U1" s="116"/>
      <c r="V1" s="116"/>
      <c r="W1" s="116"/>
      <c r="X1" s="116"/>
      <c r="Y1" s="116"/>
      <c r="Z1" s="116"/>
    </row>
    <row r="2" spans="1:26" ht="24" customHeight="1" x14ac:dyDescent="0.35">
      <c r="A2" s="117" t="s">
        <v>107</v>
      </c>
      <c r="B2" s="118"/>
      <c r="C2" s="119"/>
      <c r="D2" s="160">
        <v>2021</v>
      </c>
      <c r="E2" s="160">
        <f>+D2+1</f>
        <v>2022</v>
      </c>
      <c r="F2" s="160">
        <f>+E2+1</f>
        <v>2023</v>
      </c>
      <c r="G2" s="160">
        <f t="shared" ref="G2:M2" si="0">+F2+1</f>
        <v>2024</v>
      </c>
      <c r="H2" s="160">
        <f>+G2+1</f>
        <v>2025</v>
      </c>
      <c r="I2" s="161">
        <f t="shared" si="0"/>
        <v>2026</v>
      </c>
      <c r="J2" s="121">
        <f t="shared" si="0"/>
        <v>2027</v>
      </c>
      <c r="K2" s="121">
        <f t="shared" si="0"/>
        <v>2028</v>
      </c>
      <c r="L2" s="121">
        <f t="shared" si="0"/>
        <v>2029</v>
      </c>
      <c r="M2" s="121">
        <f t="shared" si="0"/>
        <v>2030</v>
      </c>
      <c r="N2" s="122"/>
      <c r="O2" s="122"/>
      <c r="P2" s="122"/>
      <c r="Q2" s="116"/>
      <c r="R2" s="116"/>
      <c r="S2" s="116"/>
      <c r="T2" s="116"/>
      <c r="U2" s="116"/>
      <c r="V2" s="116"/>
      <c r="W2" s="116"/>
      <c r="X2" s="116"/>
      <c r="Y2" s="116"/>
      <c r="Z2" s="116"/>
    </row>
    <row r="3" spans="1:26" ht="15.6" x14ac:dyDescent="0.3">
      <c r="A3" s="123"/>
      <c r="B3" s="123"/>
      <c r="C3" s="124"/>
      <c r="D3" s="125"/>
      <c r="E3" s="125"/>
      <c r="F3" s="125"/>
      <c r="G3" s="125"/>
      <c r="H3" s="125"/>
      <c r="I3" s="125"/>
      <c r="J3" s="125"/>
      <c r="K3" s="125"/>
      <c r="L3" s="125"/>
      <c r="M3" s="125"/>
      <c r="N3" s="116"/>
      <c r="O3" s="116"/>
      <c r="P3" s="116"/>
      <c r="Q3" s="116"/>
      <c r="R3" s="116"/>
      <c r="S3" s="116"/>
      <c r="T3" s="116"/>
      <c r="U3" s="116"/>
      <c r="V3" s="116"/>
      <c r="W3" s="116"/>
      <c r="X3" s="116"/>
      <c r="Y3" s="116"/>
      <c r="Z3" s="116"/>
    </row>
    <row r="4" spans="1:26" ht="15.6" x14ac:dyDescent="0.3">
      <c r="A4" s="116"/>
      <c r="B4" s="116"/>
      <c r="C4" s="126"/>
      <c r="D4" s="116"/>
      <c r="E4" s="116"/>
      <c r="F4" s="116"/>
      <c r="G4" s="116"/>
      <c r="H4" s="116"/>
      <c r="I4" s="116"/>
      <c r="J4" s="116"/>
      <c r="K4" s="116"/>
      <c r="L4" s="116"/>
      <c r="M4" s="116"/>
      <c r="N4" s="116"/>
      <c r="O4" s="116"/>
      <c r="P4" s="116"/>
      <c r="Q4" s="116"/>
      <c r="R4" s="116"/>
      <c r="S4" s="116"/>
      <c r="T4" s="116"/>
      <c r="U4" s="116"/>
      <c r="V4" s="116"/>
      <c r="W4" s="116"/>
      <c r="X4" s="116"/>
      <c r="Y4" s="116"/>
      <c r="Z4" s="116"/>
    </row>
    <row r="5" spans="1:26" ht="18" x14ac:dyDescent="0.3">
      <c r="A5" s="127" t="s">
        <v>39</v>
      </c>
      <c r="B5" s="128"/>
      <c r="C5" s="128"/>
      <c r="D5" s="128"/>
      <c r="E5" s="162"/>
      <c r="F5" s="128"/>
      <c r="G5" s="128"/>
      <c r="H5" s="128"/>
      <c r="I5" s="128"/>
      <c r="J5" s="128"/>
      <c r="K5" s="128"/>
      <c r="L5" s="128"/>
      <c r="M5" s="128"/>
      <c r="N5" s="116"/>
      <c r="O5" s="116"/>
      <c r="P5" s="116"/>
      <c r="Q5" s="116"/>
      <c r="R5" s="116"/>
      <c r="S5" s="116"/>
      <c r="T5" s="116"/>
      <c r="U5" s="116"/>
      <c r="V5" s="116"/>
      <c r="W5" s="116"/>
      <c r="X5" s="116"/>
      <c r="Y5" s="116"/>
      <c r="Z5" s="116"/>
    </row>
    <row r="6" spans="1:26" ht="15.6" outlineLevel="1" x14ac:dyDescent="0.3">
      <c r="A6" s="116"/>
      <c r="B6" s="116"/>
      <c r="C6" s="126"/>
      <c r="D6" s="116"/>
      <c r="E6" s="116"/>
      <c r="F6" s="116"/>
      <c r="G6" s="116"/>
      <c r="H6" s="116"/>
      <c r="I6" s="129"/>
      <c r="J6" s="129"/>
      <c r="K6" s="129"/>
      <c r="L6" s="129"/>
      <c r="M6" s="129"/>
      <c r="N6" s="116"/>
      <c r="O6" s="116"/>
      <c r="P6" s="116"/>
      <c r="Q6" s="116"/>
      <c r="R6" s="116"/>
      <c r="S6" s="116"/>
      <c r="T6" s="116"/>
      <c r="U6" s="116"/>
      <c r="V6" s="116"/>
      <c r="W6" s="116"/>
      <c r="X6" s="116"/>
      <c r="Y6" s="116"/>
      <c r="Z6" s="116"/>
    </row>
    <row r="7" spans="1:26" ht="15.6" outlineLevel="1" x14ac:dyDescent="0.3">
      <c r="A7" s="130" t="s">
        <v>108</v>
      </c>
      <c r="B7" s="116"/>
      <c r="C7" s="126"/>
      <c r="D7" s="163"/>
      <c r="E7" s="116"/>
      <c r="F7" s="116"/>
      <c r="G7" s="116"/>
      <c r="H7" s="116"/>
      <c r="I7" s="129"/>
      <c r="J7" s="129"/>
      <c r="K7" s="129"/>
      <c r="L7" s="129"/>
      <c r="M7" s="129"/>
      <c r="N7" s="116"/>
      <c r="O7" s="116"/>
      <c r="P7" s="116"/>
      <c r="Q7" s="116"/>
      <c r="R7" s="116"/>
      <c r="S7" s="116"/>
      <c r="T7" s="116"/>
      <c r="U7" s="116"/>
      <c r="V7" s="116"/>
      <c r="W7" s="116"/>
      <c r="X7" s="116"/>
      <c r="Y7" s="116"/>
      <c r="Z7" s="116"/>
    </row>
    <row r="8" spans="1:26" ht="15.6" outlineLevel="1" x14ac:dyDescent="0.3">
      <c r="A8" s="131" t="s">
        <v>109</v>
      </c>
      <c r="B8" s="132"/>
      <c r="C8" s="133"/>
      <c r="D8" s="138" t="s">
        <v>57</v>
      </c>
      <c r="E8" s="164" t="s">
        <v>57</v>
      </c>
      <c r="F8" s="164">
        <f t="shared" ref="F8:H8" si="1">(F26/E26)-1</f>
        <v>6.8820295556564215E-2</v>
      </c>
      <c r="G8" s="164">
        <f t="shared" si="1"/>
        <v>0.1566996201307127</v>
      </c>
      <c r="H8" s="164">
        <f t="shared" si="1"/>
        <v>0.14932156232406713</v>
      </c>
      <c r="I8" s="165">
        <f>AVERAGE($F$8:$H$8)</f>
        <v>0.12494715933711469</v>
      </c>
      <c r="J8" s="165">
        <f t="shared" ref="J8:L8" si="2">AVERAGE($F$8:$H$8)</f>
        <v>0.12494715933711469</v>
      </c>
      <c r="K8" s="165">
        <f t="shared" si="2"/>
        <v>0.12494715933711469</v>
      </c>
      <c r="L8" s="165">
        <f t="shared" si="2"/>
        <v>0.12494715933711469</v>
      </c>
      <c r="M8" s="165">
        <f>AVERAGE($F$8:$H$8)</f>
        <v>0.12494715933711469</v>
      </c>
      <c r="N8" s="116"/>
      <c r="O8" s="116"/>
      <c r="P8" s="116"/>
      <c r="Q8" s="116"/>
      <c r="R8" s="116"/>
      <c r="S8" s="116"/>
      <c r="T8" s="116"/>
      <c r="U8" s="116"/>
      <c r="V8" s="116"/>
      <c r="W8" s="116"/>
      <c r="X8" s="116"/>
      <c r="Y8" s="116"/>
      <c r="Z8" s="116"/>
    </row>
    <row r="9" spans="1:26" ht="15.6" outlineLevel="1" x14ac:dyDescent="0.3">
      <c r="A9" s="116" t="s">
        <v>110</v>
      </c>
      <c r="B9" s="116"/>
      <c r="C9" s="126"/>
      <c r="D9" s="138" t="s">
        <v>57</v>
      </c>
      <c r="E9" s="157">
        <f>E27/E26</f>
        <v>0.31598325515710901</v>
      </c>
      <c r="F9" s="157">
        <f t="shared" ref="F9:G9" si="3">F27/F26</f>
        <v>0.31079914116508978</v>
      </c>
      <c r="G9" s="157">
        <f t="shared" si="3"/>
        <v>0.30235556172028621</v>
      </c>
      <c r="H9" s="157">
        <f>H27/H26</f>
        <v>0.31176257613834818</v>
      </c>
      <c r="I9" s="137">
        <f>AVERAGE($E$9:$H$9)</f>
        <v>0.31022513354520831</v>
      </c>
      <c r="J9" s="137">
        <f t="shared" ref="J9:M9" si="4">AVERAGE($E$9:$H$9)</f>
        <v>0.31022513354520831</v>
      </c>
      <c r="K9" s="137">
        <f>AVERAGE($E$9:$H$9)</f>
        <v>0.31022513354520831</v>
      </c>
      <c r="L9" s="137">
        <f t="shared" si="4"/>
        <v>0.31022513354520831</v>
      </c>
      <c r="M9" s="137">
        <f t="shared" si="4"/>
        <v>0.31022513354520831</v>
      </c>
      <c r="N9" s="116"/>
      <c r="O9" s="116"/>
      <c r="P9" s="116"/>
      <c r="Q9" s="116"/>
      <c r="R9" s="116"/>
      <c r="S9" s="116"/>
      <c r="T9" s="116"/>
      <c r="U9" s="116"/>
      <c r="V9" s="116"/>
      <c r="W9" s="116"/>
      <c r="X9" s="116"/>
      <c r="Y9" s="116"/>
      <c r="Z9" s="116"/>
    </row>
    <row r="10" spans="1:26" ht="15.6" outlineLevel="1" x14ac:dyDescent="0.3">
      <c r="A10" s="116" t="s">
        <v>111</v>
      </c>
      <c r="B10" s="116"/>
      <c r="C10" s="126"/>
      <c r="D10" s="138" t="s">
        <v>57</v>
      </c>
      <c r="E10" s="138">
        <f>E31/E26</f>
        <v>0.13983456902204064</v>
      </c>
      <c r="F10" s="138">
        <f t="shared" ref="F10:H10" si="5">F31/F26</f>
        <v>0.14314229761932851</v>
      </c>
      <c r="G10" s="138">
        <f t="shared" si="5"/>
        <v>0.13081241177862452</v>
      </c>
      <c r="H10" s="138">
        <f t="shared" si="5"/>
        <v>0.11669932274140649</v>
      </c>
      <c r="I10" s="138">
        <f>AVERAGE($E$10:$H$10)</f>
        <v>0.13262215029035002</v>
      </c>
      <c r="J10" s="138">
        <f t="shared" ref="J10:M10" si="6">AVERAGE($E$10:$H$10)</f>
        <v>0.13262215029035002</v>
      </c>
      <c r="K10" s="138">
        <f t="shared" si="6"/>
        <v>0.13262215029035002</v>
      </c>
      <c r="L10" s="138">
        <f t="shared" si="6"/>
        <v>0.13262215029035002</v>
      </c>
      <c r="M10" s="138">
        <f t="shared" si="6"/>
        <v>0.13262215029035002</v>
      </c>
      <c r="N10" s="116"/>
      <c r="O10" s="116"/>
      <c r="P10" s="116"/>
      <c r="Q10" s="116"/>
      <c r="R10" s="116"/>
      <c r="S10" s="116"/>
      <c r="T10" s="116"/>
      <c r="U10" s="116"/>
      <c r="V10" s="116"/>
      <c r="W10" s="116"/>
      <c r="X10" s="116"/>
      <c r="Y10" s="116"/>
      <c r="Z10" s="116"/>
    </row>
    <row r="11" spans="1:26" ht="15.6" outlineLevel="1" x14ac:dyDescent="0.3">
      <c r="A11" s="116" t="s">
        <v>112</v>
      </c>
      <c r="B11" s="116"/>
      <c r="C11" s="126"/>
      <c r="D11" s="138" t="s">
        <v>57</v>
      </c>
      <c r="E11" s="166">
        <v>0</v>
      </c>
      <c r="F11" s="166">
        <v>0</v>
      </c>
      <c r="G11" s="166">
        <v>0</v>
      </c>
      <c r="H11" s="166">
        <v>0</v>
      </c>
      <c r="I11" s="138">
        <f>H11</f>
        <v>0</v>
      </c>
      <c r="J11" s="138">
        <f t="shared" ref="J11:M11" si="7">I11</f>
        <v>0</v>
      </c>
      <c r="K11" s="138">
        <f t="shared" si="7"/>
        <v>0</v>
      </c>
      <c r="L11" s="138">
        <f t="shared" si="7"/>
        <v>0</v>
      </c>
      <c r="M11" s="138">
        <f t="shared" si="7"/>
        <v>0</v>
      </c>
      <c r="N11" s="116"/>
      <c r="O11" s="116"/>
      <c r="P11" s="116"/>
      <c r="Q11" s="116"/>
      <c r="R11" s="116"/>
      <c r="S11" s="116"/>
      <c r="T11" s="116"/>
      <c r="U11" s="116"/>
      <c r="V11" s="116"/>
      <c r="W11" s="116"/>
      <c r="X11" s="116"/>
      <c r="Y11" s="116"/>
      <c r="Z11" s="116"/>
    </row>
    <row r="12" spans="1:26" ht="15.6" outlineLevel="1" x14ac:dyDescent="0.3">
      <c r="A12" s="116" t="s">
        <v>113</v>
      </c>
      <c r="B12" s="116"/>
      <c r="C12" s="126"/>
      <c r="D12" s="138" t="s">
        <v>57</v>
      </c>
      <c r="E12" s="138">
        <f>E66/E46</f>
        <v>0.16517031046535535</v>
      </c>
      <c r="F12" s="138">
        <f t="shared" ref="F12:H12" si="8">F66/F46</f>
        <v>0.12602398465273168</v>
      </c>
      <c r="G12" s="138">
        <f t="shared" si="8"/>
        <v>0.14420389254102178</v>
      </c>
      <c r="H12" s="138">
        <f t="shared" si="8"/>
        <v>0.14862765406525116</v>
      </c>
      <c r="I12" s="137">
        <f>AVERAGE($E$12:$H$12)</f>
        <v>0.14600646043109</v>
      </c>
      <c r="J12" s="137">
        <f t="shared" ref="J12:L12" si="9">AVERAGE($E$12:$H$12)</f>
        <v>0.14600646043109</v>
      </c>
      <c r="K12" s="137">
        <f t="shared" si="9"/>
        <v>0.14600646043109</v>
      </c>
      <c r="L12" s="137">
        <f t="shared" si="9"/>
        <v>0.14600646043109</v>
      </c>
      <c r="M12" s="137">
        <f>AVERAGE($E$12:$H$12)</f>
        <v>0.14600646043109</v>
      </c>
      <c r="N12" s="116"/>
      <c r="O12" s="116"/>
      <c r="P12" s="116"/>
      <c r="Q12" s="116"/>
      <c r="R12" s="116"/>
      <c r="S12" s="116"/>
      <c r="T12" s="116"/>
      <c r="U12" s="116"/>
      <c r="V12" s="116"/>
      <c r="W12" s="116"/>
      <c r="X12" s="116"/>
      <c r="Y12" s="116"/>
      <c r="Z12" s="116"/>
    </row>
    <row r="13" spans="1:26" ht="15.6" outlineLevel="1" x14ac:dyDescent="0.3">
      <c r="A13" s="116" t="s">
        <v>114</v>
      </c>
      <c r="B13" s="116"/>
      <c r="C13" s="126"/>
      <c r="D13" s="138" t="s">
        <v>57</v>
      </c>
      <c r="E13" s="166">
        <v>0</v>
      </c>
      <c r="F13" s="166">
        <v>0</v>
      </c>
      <c r="G13" s="166">
        <v>0</v>
      </c>
      <c r="H13" s="166">
        <v>0</v>
      </c>
      <c r="I13" s="138">
        <f>H13</f>
        <v>0</v>
      </c>
      <c r="J13" s="138">
        <f t="shared" ref="J13:M13" si="10">I13</f>
        <v>0</v>
      </c>
      <c r="K13" s="138">
        <f t="shared" si="10"/>
        <v>0</v>
      </c>
      <c r="L13" s="138">
        <f t="shared" si="10"/>
        <v>0</v>
      </c>
      <c r="M13" s="138">
        <f t="shared" si="10"/>
        <v>0</v>
      </c>
      <c r="N13" s="116"/>
      <c r="O13" s="116"/>
      <c r="P13" s="116"/>
      <c r="Q13" s="116"/>
      <c r="R13" s="116"/>
      <c r="S13" s="116"/>
      <c r="T13" s="116"/>
      <c r="U13" s="116"/>
      <c r="V13" s="116"/>
      <c r="W13" s="116"/>
      <c r="X13" s="116"/>
      <c r="Y13" s="116"/>
      <c r="Z13" s="116"/>
    </row>
    <row r="14" spans="1:26" ht="15.6" outlineLevel="1" x14ac:dyDescent="0.3">
      <c r="A14" s="116" t="s">
        <v>115</v>
      </c>
      <c r="B14" s="139"/>
      <c r="C14" s="140"/>
      <c r="D14" s="138" t="s">
        <v>57</v>
      </c>
      <c r="E14" s="138">
        <f>E36/E34</f>
        <v>0.13165753211086192</v>
      </c>
      <c r="F14" s="138">
        <f>F36/F34</f>
        <v>0.19147566169244151</v>
      </c>
      <c r="G14" s="138">
        <f t="shared" ref="G14:H14" si="11">G36/G34</f>
        <v>0.17957106174554294</v>
      </c>
      <c r="H14" s="138">
        <f t="shared" si="11"/>
        <v>0.16957394497697001</v>
      </c>
      <c r="I14" s="137">
        <f>AVERAGE($E$14:$H$14)</f>
        <v>0.16806955013145408</v>
      </c>
      <c r="J14" s="137">
        <f t="shared" ref="J14:M14" si="12">AVERAGE($E$14:$H$14)</f>
        <v>0.16806955013145408</v>
      </c>
      <c r="K14" s="137">
        <f t="shared" si="12"/>
        <v>0.16806955013145408</v>
      </c>
      <c r="L14" s="137">
        <f t="shared" si="12"/>
        <v>0.16806955013145408</v>
      </c>
      <c r="M14" s="137">
        <f t="shared" si="12"/>
        <v>0.16806955013145408</v>
      </c>
      <c r="N14" s="116"/>
      <c r="O14" s="116"/>
      <c r="P14" s="116"/>
      <c r="Q14" s="116"/>
      <c r="R14" s="116"/>
      <c r="S14" s="116"/>
      <c r="T14" s="116"/>
      <c r="U14" s="116"/>
      <c r="V14" s="116"/>
      <c r="W14" s="116"/>
      <c r="X14" s="116"/>
      <c r="Y14" s="116"/>
      <c r="Z14" s="116"/>
    </row>
    <row r="15" spans="1:26" ht="15.6" outlineLevel="1" x14ac:dyDescent="0.3">
      <c r="A15" s="116" t="s">
        <v>116</v>
      </c>
      <c r="B15" s="116"/>
      <c r="C15" s="141"/>
      <c r="D15" s="138" t="s">
        <v>57</v>
      </c>
      <c r="E15" s="116">
        <f>((E44/E26)*365)</f>
        <v>81.481136833610734</v>
      </c>
      <c r="F15" s="116">
        <f t="shared" ref="F15:F16" si="13">((F44/F26)*365)</f>
        <v>83.859660713021725</v>
      </c>
      <c r="G15" s="116">
        <f>((G44/G26)*365)</f>
        <v>84.762934375535451</v>
      </c>
      <c r="H15" s="116">
        <f>((H44/H26)*365)</f>
        <v>90.568517414206809</v>
      </c>
      <c r="I15" s="129">
        <f>AVERAGE($E$15:$H$15)</f>
        <v>85.16806233409369</v>
      </c>
      <c r="J15" s="129">
        <f t="shared" ref="J15:M15" si="14">AVERAGE($E$15:$H$15)</f>
        <v>85.16806233409369</v>
      </c>
      <c r="K15" s="129">
        <f t="shared" si="14"/>
        <v>85.16806233409369</v>
      </c>
      <c r="L15" s="129">
        <f t="shared" si="14"/>
        <v>85.16806233409369</v>
      </c>
      <c r="M15" s="129">
        <f t="shared" si="14"/>
        <v>85.16806233409369</v>
      </c>
      <c r="N15" s="116"/>
      <c r="O15" s="116"/>
      <c r="P15" s="116"/>
      <c r="Q15" s="116"/>
      <c r="R15" s="116"/>
      <c r="S15" s="116"/>
      <c r="T15" s="116"/>
      <c r="U15" s="116"/>
      <c r="V15" s="116"/>
      <c r="W15" s="116"/>
      <c r="X15" s="116"/>
      <c r="Y15" s="116"/>
      <c r="Z15" s="116"/>
    </row>
    <row r="16" spans="1:26" ht="15.6" outlineLevel="1" x14ac:dyDescent="0.3">
      <c r="A16" s="116" t="s">
        <v>117</v>
      </c>
      <c r="B16" s="116"/>
      <c r="C16" s="141"/>
      <c r="D16" s="138" t="s">
        <v>57</v>
      </c>
      <c r="E16" s="116">
        <f>((E45/E27)*365)</f>
        <v>21.80095770151636</v>
      </c>
      <c r="F16" s="116">
        <f t="shared" si="13"/>
        <v>13.854516192703034</v>
      </c>
      <c r="G16" s="116">
        <f>((G45/G27)*365)</f>
        <v>6.1363575033057183</v>
      </c>
      <c r="H16" s="116">
        <f>((H45/H27)*365)</f>
        <v>3.8980542177591055</v>
      </c>
      <c r="I16" s="129">
        <f>AVERAGE($E$16:$H$16)</f>
        <v>11.422471403821055</v>
      </c>
      <c r="J16" s="129">
        <f t="shared" ref="J16:M16" si="15">AVERAGE($E$16:$H$16)</f>
        <v>11.422471403821055</v>
      </c>
      <c r="K16" s="129">
        <f t="shared" si="15"/>
        <v>11.422471403821055</v>
      </c>
      <c r="L16" s="129">
        <f t="shared" si="15"/>
        <v>11.422471403821055</v>
      </c>
      <c r="M16" s="129">
        <f t="shared" si="15"/>
        <v>11.422471403821055</v>
      </c>
      <c r="N16" s="116"/>
      <c r="O16" s="116"/>
      <c r="P16" s="116"/>
      <c r="Q16" s="116"/>
      <c r="R16" s="116"/>
      <c r="S16" s="116"/>
      <c r="T16" s="116"/>
      <c r="U16" s="116"/>
      <c r="V16" s="116"/>
      <c r="W16" s="116"/>
      <c r="X16" s="116"/>
      <c r="Y16" s="116"/>
      <c r="Z16" s="116"/>
    </row>
    <row r="17" spans="1:26" ht="15.6" outlineLevel="1" x14ac:dyDescent="0.3">
      <c r="A17" s="116" t="s">
        <v>118</v>
      </c>
      <c r="B17" s="116"/>
      <c r="C17" s="141"/>
      <c r="D17" s="138" t="s">
        <v>57</v>
      </c>
      <c r="E17" s="116">
        <f>(E50/E27)*365</f>
        <v>110.69433359936153</v>
      </c>
      <c r="F17" s="116">
        <f t="shared" ref="F17:H17" si="16">(F50/F27)*365</f>
        <v>100.27898820278456</v>
      </c>
      <c r="G17" s="116">
        <f t="shared" si="16"/>
        <v>108.32690179992984</v>
      </c>
      <c r="H17" s="116">
        <f t="shared" si="16"/>
        <v>115.21285195432137</v>
      </c>
      <c r="I17" s="129">
        <f>AVERAGE($E$17:$H$17)</f>
        <v>108.62826888909932</v>
      </c>
      <c r="J17" s="129">
        <f t="shared" ref="J17:M17" si="17">AVERAGE($E$17:$H$17)</f>
        <v>108.62826888909932</v>
      </c>
      <c r="K17" s="129">
        <f t="shared" si="17"/>
        <v>108.62826888909932</v>
      </c>
      <c r="L17" s="129">
        <f t="shared" si="17"/>
        <v>108.62826888909932</v>
      </c>
      <c r="M17" s="129">
        <f t="shared" si="17"/>
        <v>108.62826888909932</v>
      </c>
      <c r="N17" s="116"/>
      <c r="O17" s="116"/>
      <c r="P17" s="116"/>
      <c r="Q17" s="116"/>
      <c r="R17" s="116"/>
      <c r="S17" s="116"/>
      <c r="T17" s="116"/>
      <c r="U17" s="116"/>
      <c r="V17" s="116"/>
      <c r="W17" s="116"/>
      <c r="X17" s="116"/>
      <c r="Y17" s="116"/>
      <c r="Z17" s="116"/>
    </row>
    <row r="18" spans="1:26" ht="15.6" outlineLevel="1" x14ac:dyDescent="0.3">
      <c r="A18" s="116" t="s">
        <v>119</v>
      </c>
      <c r="B18" s="116"/>
      <c r="C18" s="126"/>
      <c r="D18" s="138" t="s">
        <v>57</v>
      </c>
      <c r="E18" s="116">
        <f>E71</f>
        <v>-23886</v>
      </c>
      <c r="F18" s="116">
        <f t="shared" ref="F18:H18" si="18">F71</f>
        <v>-28107</v>
      </c>
      <c r="G18" s="116">
        <f t="shared" si="18"/>
        <v>-44477</v>
      </c>
      <c r="H18" s="116">
        <f t="shared" si="18"/>
        <v>-64551</v>
      </c>
      <c r="I18" s="129">
        <f>AVERAGE($E$18:$H$18)</f>
        <v>-40255.25</v>
      </c>
      <c r="J18" s="129">
        <f t="shared" ref="J18:M18" si="19">AVERAGE($E$18:$H$18)</f>
        <v>-40255.25</v>
      </c>
      <c r="K18" s="129">
        <f t="shared" si="19"/>
        <v>-40255.25</v>
      </c>
      <c r="L18" s="129">
        <f t="shared" si="19"/>
        <v>-40255.25</v>
      </c>
      <c r="M18" s="129">
        <f t="shared" si="19"/>
        <v>-40255.25</v>
      </c>
      <c r="N18" s="116"/>
      <c r="O18" s="116"/>
      <c r="P18" s="116"/>
      <c r="Q18" s="116"/>
      <c r="R18" s="116"/>
      <c r="S18" s="116"/>
      <c r="T18" s="116"/>
      <c r="U18" s="116"/>
      <c r="V18" s="116"/>
      <c r="W18" s="116"/>
      <c r="X18" s="116"/>
      <c r="Y18" s="116"/>
      <c r="Z18" s="116"/>
    </row>
    <row r="19" spans="1:26" ht="15.6" outlineLevel="1" x14ac:dyDescent="0.3">
      <c r="A19" s="116" t="s">
        <v>120</v>
      </c>
      <c r="B19" s="116"/>
      <c r="C19" s="126"/>
      <c r="D19" s="138" t="s">
        <v>57</v>
      </c>
      <c r="E19" s="116">
        <f>E75</f>
        <v>-9023</v>
      </c>
      <c r="F19" s="116">
        <f t="shared" ref="F19:H20" si="20">F75</f>
        <v>-2750</v>
      </c>
      <c r="G19" s="116">
        <f t="shared" si="20"/>
        <v>-4675</v>
      </c>
      <c r="H19" s="116">
        <f t="shared" si="20"/>
        <v>-3216</v>
      </c>
      <c r="I19" s="129">
        <f>AVERAGE($E$19:$H$19)</f>
        <v>-4916</v>
      </c>
      <c r="J19" s="129">
        <f t="shared" ref="J19:M19" si="21">AVERAGE($E$19:$H$19)</f>
        <v>-4916</v>
      </c>
      <c r="K19" s="129">
        <f t="shared" si="21"/>
        <v>-4916</v>
      </c>
      <c r="L19" s="129">
        <f t="shared" si="21"/>
        <v>-4916</v>
      </c>
      <c r="M19" s="129">
        <f t="shared" si="21"/>
        <v>-4916</v>
      </c>
      <c r="N19" s="116"/>
      <c r="O19" s="116"/>
      <c r="P19" s="116"/>
      <c r="Q19" s="116"/>
      <c r="R19" s="116"/>
      <c r="S19" s="116"/>
      <c r="T19" s="116"/>
      <c r="U19" s="116"/>
      <c r="V19" s="116"/>
      <c r="W19" s="116"/>
      <c r="X19" s="116"/>
      <c r="Y19" s="116"/>
      <c r="Z19" s="116"/>
    </row>
    <row r="20" spans="1:26" ht="15.6" outlineLevel="1" x14ac:dyDescent="0.3">
      <c r="A20" s="116" t="s">
        <v>121</v>
      </c>
      <c r="B20" s="116"/>
      <c r="C20" s="126"/>
      <c r="D20" s="138" t="s">
        <v>57</v>
      </c>
      <c r="E20" s="116">
        <f>E76</f>
        <v>-30855</v>
      </c>
      <c r="F20" s="116">
        <f t="shared" si="20"/>
        <v>-20379</v>
      </c>
      <c r="G20" s="116">
        <f t="shared" si="20"/>
        <v>-15252</v>
      </c>
      <c r="H20" s="116">
        <f t="shared" si="20"/>
        <v>-16364</v>
      </c>
      <c r="I20" s="129">
        <f>AVERAGE($E$20:$H$20)</f>
        <v>-20712.5</v>
      </c>
      <c r="J20" s="129">
        <f t="shared" ref="J20:M20" si="22">AVERAGE($E$20:$H$20)</f>
        <v>-20712.5</v>
      </c>
      <c r="K20" s="129">
        <f t="shared" si="22"/>
        <v>-20712.5</v>
      </c>
      <c r="L20" s="129">
        <f>AVERAGE($E$20:$H$20)</f>
        <v>-20712.5</v>
      </c>
      <c r="M20" s="129">
        <f t="shared" si="22"/>
        <v>-20712.5</v>
      </c>
      <c r="N20" s="116"/>
      <c r="O20" s="116"/>
      <c r="P20" s="116"/>
      <c r="Q20" s="116"/>
      <c r="R20" s="116"/>
      <c r="S20" s="116"/>
      <c r="T20" s="116"/>
      <c r="U20" s="116"/>
      <c r="V20" s="116"/>
      <c r="W20" s="116"/>
      <c r="X20" s="116"/>
      <c r="Y20" s="116"/>
      <c r="Z20" s="116"/>
    </row>
    <row r="21" spans="1:26" ht="15.6" outlineLevel="1" x14ac:dyDescent="0.3">
      <c r="A21" s="116" t="s">
        <v>122</v>
      </c>
      <c r="B21" s="116"/>
      <c r="C21" s="126"/>
      <c r="D21" s="138" t="s">
        <v>57</v>
      </c>
      <c r="E21" s="129">
        <v>365</v>
      </c>
      <c r="F21" s="129">
        <v>365</v>
      </c>
      <c r="G21" s="129">
        <v>365</v>
      </c>
      <c r="H21" s="129">
        <v>365</v>
      </c>
      <c r="I21" s="129">
        <f>AVERAGE(E21:H21)</f>
        <v>365</v>
      </c>
      <c r="J21" s="129">
        <f t="shared" ref="J21:M21" si="23">AVERAGE(F21:I21)</f>
        <v>365</v>
      </c>
      <c r="K21" s="129">
        <f t="shared" si="23"/>
        <v>365</v>
      </c>
      <c r="L21" s="129">
        <f t="shared" si="23"/>
        <v>365</v>
      </c>
      <c r="M21" s="129">
        <f t="shared" si="23"/>
        <v>365</v>
      </c>
      <c r="N21" s="116"/>
      <c r="O21" s="116"/>
      <c r="P21" s="116"/>
      <c r="Q21" s="116"/>
      <c r="R21" s="116"/>
      <c r="S21" s="116"/>
      <c r="T21" s="116"/>
      <c r="U21" s="116"/>
      <c r="V21" s="116"/>
      <c r="W21" s="116"/>
      <c r="X21" s="116"/>
      <c r="Y21" s="116"/>
      <c r="Z21" s="116"/>
    </row>
    <row r="22" spans="1:26" ht="15.6" outlineLevel="1" x14ac:dyDescent="0.3">
      <c r="A22" s="116"/>
      <c r="B22" s="116"/>
      <c r="C22" s="126"/>
      <c r="D22" s="116"/>
      <c r="E22" s="116"/>
      <c r="F22" s="116"/>
      <c r="G22" s="116"/>
      <c r="H22" s="116"/>
      <c r="I22" s="129"/>
      <c r="J22" s="129"/>
      <c r="K22" s="129"/>
      <c r="L22" s="129"/>
      <c r="M22" s="129"/>
      <c r="N22" s="116"/>
      <c r="O22" s="116"/>
      <c r="P22" s="116"/>
      <c r="Q22" s="116"/>
      <c r="R22" s="116"/>
      <c r="S22" s="116"/>
      <c r="T22" s="116"/>
      <c r="U22" s="116"/>
      <c r="V22" s="116"/>
      <c r="W22" s="116"/>
      <c r="X22" s="116"/>
      <c r="Y22" s="116"/>
      <c r="Z22" s="116"/>
    </row>
    <row r="23" spans="1:26" ht="15.6" x14ac:dyDescent="0.3">
      <c r="A23" s="116"/>
      <c r="B23" s="116"/>
      <c r="C23" s="126"/>
      <c r="D23" s="116"/>
      <c r="E23" s="116"/>
      <c r="F23" s="116"/>
      <c r="G23" s="116"/>
      <c r="H23" s="116"/>
      <c r="I23" s="129"/>
      <c r="J23" s="129"/>
      <c r="K23" s="129"/>
      <c r="L23" s="129"/>
      <c r="M23" s="129"/>
      <c r="N23" s="116"/>
      <c r="O23" s="116"/>
      <c r="P23" s="116"/>
      <c r="Q23" s="116"/>
      <c r="R23" s="116"/>
      <c r="S23" s="116"/>
      <c r="T23" s="116"/>
      <c r="U23" s="116"/>
      <c r="V23" s="116"/>
      <c r="W23" s="116"/>
      <c r="X23" s="116"/>
      <c r="Y23" s="116"/>
      <c r="Z23" s="116"/>
    </row>
    <row r="24" spans="1:26" ht="18" x14ac:dyDescent="0.3">
      <c r="A24" s="142" t="s">
        <v>123</v>
      </c>
      <c r="B24" s="128"/>
      <c r="C24" s="128"/>
      <c r="D24" s="128"/>
      <c r="E24" s="128"/>
      <c r="F24" s="128"/>
      <c r="G24" s="128"/>
      <c r="H24" s="128"/>
      <c r="I24" s="128"/>
      <c r="J24" s="128"/>
      <c r="K24" s="128"/>
      <c r="L24" s="128"/>
      <c r="M24" s="128"/>
      <c r="N24" s="116"/>
      <c r="O24" s="116"/>
      <c r="P24" s="116"/>
      <c r="Q24" s="116"/>
      <c r="R24" s="116"/>
      <c r="S24" s="116"/>
      <c r="T24" s="116"/>
      <c r="U24" s="116"/>
      <c r="V24" s="116"/>
      <c r="W24" s="116"/>
      <c r="X24" s="116"/>
      <c r="Y24" s="116"/>
      <c r="Z24" s="116"/>
    </row>
    <row r="25" spans="1:26" ht="15.6" outlineLevel="1" x14ac:dyDescent="0.3">
      <c r="A25" s="130"/>
      <c r="B25" s="130"/>
      <c r="C25" s="143"/>
      <c r="D25" s="144"/>
      <c r="E25" s="144"/>
      <c r="F25" s="144"/>
      <c r="G25" s="144"/>
      <c r="H25" s="144"/>
      <c r="I25" s="130"/>
      <c r="J25" s="130"/>
      <c r="K25" s="130"/>
      <c r="L25" s="130"/>
      <c r="M25" s="130"/>
      <c r="N25" s="116"/>
      <c r="O25" s="116"/>
      <c r="P25" s="116"/>
      <c r="Q25" s="116"/>
      <c r="R25" s="116"/>
      <c r="S25" s="116"/>
      <c r="T25" s="116"/>
      <c r="U25" s="116"/>
      <c r="V25" s="116"/>
      <c r="W25" s="116"/>
      <c r="X25" s="116"/>
      <c r="Y25" s="116"/>
      <c r="Z25" s="116"/>
    </row>
    <row r="26" spans="1:26" ht="15.6" outlineLevel="1" x14ac:dyDescent="0.3">
      <c r="A26" s="130" t="s">
        <v>83</v>
      </c>
      <c r="B26" s="130"/>
      <c r="C26" s="143"/>
      <c r="D26" s="144" t="s">
        <v>57</v>
      </c>
      <c r="E26" s="167">
        <v>198270</v>
      </c>
      <c r="F26" s="144">
        <v>211915</v>
      </c>
      <c r="G26" s="144">
        <v>245122</v>
      </c>
      <c r="H26" s="144">
        <v>281724</v>
      </c>
      <c r="I26" s="130">
        <f>((H26)*(1+I8))</f>
        <v>316924.61351708934</v>
      </c>
      <c r="J26" s="130">
        <f>((I26)*(1+J8))</f>
        <v>356523.44370006263</v>
      </c>
      <c r="K26" s="130">
        <f t="shared" ref="K26:L26" si="24">((J26)*(1+K8))</f>
        <v>401070.03522747121</v>
      </c>
      <c r="L26" s="130">
        <f t="shared" si="24"/>
        <v>451182.59682438028</v>
      </c>
      <c r="M26" s="130">
        <f>((L26)*(1+M8))</f>
        <v>507556.58063992934</v>
      </c>
      <c r="N26" s="116"/>
      <c r="O26" s="116"/>
      <c r="P26" s="116"/>
      <c r="Q26" s="116"/>
      <c r="R26" s="116"/>
      <c r="S26" s="116"/>
      <c r="T26" s="116"/>
      <c r="U26" s="116"/>
      <c r="V26" s="116"/>
      <c r="W26" s="116"/>
      <c r="X26" s="116"/>
      <c r="Y26" s="116"/>
      <c r="Z26" s="116"/>
    </row>
    <row r="27" spans="1:26" ht="15.6" outlineLevel="1" x14ac:dyDescent="0.3">
      <c r="A27" s="116" t="s">
        <v>124</v>
      </c>
      <c r="B27" s="116"/>
      <c r="C27" s="126"/>
      <c r="D27" s="144" t="s">
        <v>57</v>
      </c>
      <c r="E27" s="129">
        <v>62650</v>
      </c>
      <c r="F27" s="129">
        <v>65863</v>
      </c>
      <c r="G27" s="129">
        <v>74114</v>
      </c>
      <c r="H27" s="129">
        <v>87831</v>
      </c>
      <c r="I27" s="145">
        <f>((I26)*I9)</f>
        <v>98317.98055210257</v>
      </c>
      <c r="J27" s="145">
        <f>((J26)*J9)</f>
        <v>110602.53293384949</v>
      </c>
      <c r="K27" s="145">
        <f t="shared" ref="K27:M27" si="25">((K26)*K9)</f>
        <v>124422.00523942366</v>
      </c>
      <c r="L27" s="145">
        <f t="shared" si="25"/>
        <v>139968.18135311725</v>
      </c>
      <c r="M27" s="145">
        <f t="shared" si="25"/>
        <v>157456.80801077138</v>
      </c>
      <c r="N27" s="116"/>
      <c r="O27" s="116"/>
      <c r="P27" s="116"/>
      <c r="Q27" s="116"/>
      <c r="R27" s="116"/>
      <c r="S27" s="116"/>
      <c r="T27" s="116"/>
      <c r="U27" s="116"/>
      <c r="V27" s="116"/>
      <c r="W27" s="116"/>
      <c r="X27" s="116"/>
      <c r="Y27" s="116"/>
      <c r="Z27" s="116"/>
    </row>
    <row r="28" spans="1:26" ht="15.6" outlineLevel="1" x14ac:dyDescent="0.3">
      <c r="A28" s="132" t="s">
        <v>125</v>
      </c>
      <c r="B28" s="132"/>
      <c r="C28" s="133"/>
      <c r="D28" s="144" t="s">
        <v>57</v>
      </c>
      <c r="E28" s="132">
        <v>135620</v>
      </c>
      <c r="F28" s="132">
        <v>146052</v>
      </c>
      <c r="G28" s="132">
        <v>171008</v>
      </c>
      <c r="H28" s="132">
        <v>193893</v>
      </c>
      <c r="I28" s="132">
        <f>I26-I27</f>
        <v>218606.63296498678</v>
      </c>
      <c r="J28" s="132">
        <f t="shared" ref="J28:M28" si="26">J26-J27</f>
        <v>245920.91076621314</v>
      </c>
      <c r="K28" s="132">
        <f t="shared" si="26"/>
        <v>276648.02998804755</v>
      </c>
      <c r="L28" s="132">
        <f t="shared" si="26"/>
        <v>311214.415471263</v>
      </c>
      <c r="M28" s="132">
        <f t="shared" si="26"/>
        <v>350099.77262915799</v>
      </c>
      <c r="N28" s="116"/>
      <c r="O28" s="116"/>
      <c r="P28" s="116"/>
      <c r="Q28" s="116"/>
      <c r="R28" s="116"/>
      <c r="S28" s="116"/>
      <c r="T28" s="116"/>
      <c r="U28" s="116"/>
      <c r="V28" s="116"/>
      <c r="W28" s="116"/>
      <c r="X28" s="116"/>
      <c r="Y28" s="116"/>
      <c r="Z28" s="116"/>
    </row>
    <row r="29" spans="1:26" ht="15.6" outlineLevel="1" x14ac:dyDescent="0.3">
      <c r="A29" s="130" t="s">
        <v>87</v>
      </c>
      <c r="B29" s="130"/>
      <c r="C29" s="143"/>
      <c r="D29" s="144" t="s">
        <v>57</v>
      </c>
      <c r="E29" s="146"/>
      <c r="F29" s="146"/>
      <c r="G29" s="146"/>
      <c r="H29" s="146"/>
      <c r="I29" s="146"/>
      <c r="J29" s="146"/>
      <c r="K29" s="146"/>
      <c r="L29" s="130"/>
      <c r="M29" s="130"/>
      <c r="N29" s="116"/>
      <c r="O29" s="116"/>
      <c r="P29" s="116"/>
      <c r="Q29" s="116"/>
      <c r="R29" s="116"/>
      <c r="S29" s="116"/>
      <c r="T29" s="116"/>
      <c r="U29" s="116"/>
      <c r="V29" s="116"/>
      <c r="W29" s="116"/>
      <c r="X29" s="116"/>
      <c r="Y29" s="116"/>
      <c r="Z29" s="116"/>
    </row>
    <row r="30" spans="1:26" ht="15.6" outlineLevel="1" x14ac:dyDescent="0.3">
      <c r="A30" s="116" t="s">
        <v>126</v>
      </c>
      <c r="B30" s="116"/>
      <c r="C30" s="126"/>
      <c r="D30" s="144" t="s">
        <v>57</v>
      </c>
      <c r="E30" s="129">
        <v>24512</v>
      </c>
      <c r="F30" s="129">
        <v>27195</v>
      </c>
      <c r="G30" s="129">
        <v>29510</v>
      </c>
      <c r="H30" s="129">
        <v>32488</v>
      </c>
      <c r="I30" s="116">
        <f>((H30*(1+I8)))</f>
        <v>36547.283312544183</v>
      </c>
      <c r="J30" s="116">
        <f t="shared" ref="J30:M30" si="27">((I30*(1+J8)))</f>
        <v>41113.762543935314</v>
      </c>
      <c r="K30" s="116">
        <f t="shared" si="27"/>
        <v>46250.810383460703</v>
      </c>
      <c r="L30" s="116">
        <f t="shared" si="27"/>
        <v>52029.717757913648</v>
      </c>
      <c r="M30" s="116">
        <f t="shared" si="27"/>
        <v>58530.683192876793</v>
      </c>
      <c r="N30" s="116"/>
      <c r="O30" s="116"/>
      <c r="P30" s="116"/>
      <c r="Q30" s="116"/>
      <c r="R30" s="116"/>
      <c r="S30" s="116"/>
      <c r="T30" s="116"/>
      <c r="U30" s="116"/>
      <c r="V30" s="116"/>
      <c r="W30" s="116"/>
      <c r="X30" s="116"/>
      <c r="Y30" s="116"/>
      <c r="Z30" s="116"/>
    </row>
    <row r="31" spans="1:26" ht="15.6" outlineLevel="1" x14ac:dyDescent="0.3">
      <c r="A31" s="116" t="s">
        <v>127</v>
      </c>
      <c r="B31" s="116"/>
      <c r="C31" s="126"/>
      <c r="D31" s="144" t="s">
        <v>57</v>
      </c>
      <c r="E31" s="129">
        <v>27725</v>
      </c>
      <c r="F31" s="129">
        <v>30334</v>
      </c>
      <c r="G31" s="129">
        <v>32065</v>
      </c>
      <c r="H31" s="129">
        <v>32877</v>
      </c>
      <c r="I31" s="116">
        <f>((I26)*(I10))</f>
        <v>42031.22372457452</v>
      </c>
      <c r="J31" s="116">
        <f t="shared" ref="J31:M31" si="28">((J26)*(J10))</f>
        <v>47282.905732422849</v>
      </c>
      <c r="K31" s="116">
        <f t="shared" si="28"/>
        <v>53190.770488893664</v>
      </c>
      <c r="L31" s="116">
        <f t="shared" si="28"/>
        <v>59836.806164433357</v>
      </c>
      <c r="M31" s="116">
        <f t="shared" si="28"/>
        <v>67313.245118484861</v>
      </c>
      <c r="N31" s="116"/>
      <c r="O31" s="116"/>
      <c r="P31" s="116"/>
      <c r="Q31" s="116"/>
      <c r="R31" s="116"/>
      <c r="S31" s="116"/>
      <c r="T31" s="116"/>
      <c r="U31" s="116"/>
      <c r="V31" s="116"/>
      <c r="W31" s="116"/>
      <c r="X31" s="116"/>
      <c r="Y31" s="116"/>
      <c r="Z31" s="116"/>
    </row>
    <row r="32" spans="1:26" ht="15.6" outlineLevel="1" x14ac:dyDescent="0.3">
      <c r="A32" s="116" t="s">
        <v>128</v>
      </c>
      <c r="B32" s="116"/>
      <c r="C32" s="126"/>
      <c r="D32" s="144" t="s">
        <v>57</v>
      </c>
      <c r="E32" s="129" t="s">
        <v>57</v>
      </c>
      <c r="F32" s="129" t="s">
        <v>57</v>
      </c>
      <c r="G32" s="129" t="s">
        <v>57</v>
      </c>
      <c r="H32" s="129" t="s">
        <v>57</v>
      </c>
      <c r="I32" s="129" t="s">
        <v>57</v>
      </c>
      <c r="J32" s="129" t="s">
        <v>57</v>
      </c>
      <c r="K32" s="129" t="s">
        <v>57</v>
      </c>
      <c r="L32" s="129" t="s">
        <v>57</v>
      </c>
      <c r="M32" s="129" t="s">
        <v>57</v>
      </c>
      <c r="N32" s="116"/>
      <c r="O32" s="116"/>
      <c r="P32" s="116"/>
      <c r="Q32" s="116"/>
      <c r="R32" s="116"/>
      <c r="S32" s="116"/>
      <c r="T32" s="116"/>
      <c r="U32" s="116"/>
      <c r="V32" s="116"/>
      <c r="W32" s="116"/>
      <c r="X32" s="116"/>
      <c r="Y32" s="116"/>
      <c r="Z32" s="116"/>
    </row>
    <row r="33" spans="1:26" ht="15.6" outlineLevel="1" x14ac:dyDescent="0.3">
      <c r="A33" s="130" t="s">
        <v>92</v>
      </c>
      <c r="B33" s="116"/>
      <c r="C33" s="126"/>
      <c r="D33" s="144" t="s">
        <v>57</v>
      </c>
      <c r="E33" s="130">
        <f>SUM(E30,E31,E32)</f>
        <v>52237</v>
      </c>
      <c r="F33" s="130">
        <f t="shared" ref="F33:G33" si="29">SUM(F30,F31,F32)</f>
        <v>57529</v>
      </c>
      <c r="G33" s="130">
        <f t="shared" si="29"/>
        <v>61575</v>
      </c>
      <c r="H33" s="130">
        <f>SUM(H30,H31,H32)</f>
        <v>65365</v>
      </c>
      <c r="I33" s="130">
        <f t="shared" ref="I33:M33" si="30">SUM(I30,I31,I32)</f>
        <v>78578.507037118703</v>
      </c>
      <c r="J33" s="130">
        <f t="shared" si="30"/>
        <v>88396.668276358163</v>
      </c>
      <c r="K33" s="130">
        <f t="shared" si="30"/>
        <v>99441.58087235436</v>
      </c>
      <c r="L33" s="130">
        <f t="shared" si="30"/>
        <v>111866.523922347</v>
      </c>
      <c r="M33" s="130">
        <f t="shared" si="30"/>
        <v>125843.92831136165</v>
      </c>
      <c r="N33" s="116"/>
      <c r="O33" s="116"/>
      <c r="P33" s="116"/>
      <c r="Q33" s="116"/>
      <c r="R33" s="116"/>
      <c r="S33" s="116"/>
      <c r="T33" s="116"/>
      <c r="U33" s="116"/>
      <c r="V33" s="116"/>
      <c r="W33" s="116"/>
      <c r="X33" s="116"/>
      <c r="Y33" s="116"/>
      <c r="Z33" s="116"/>
    </row>
    <row r="34" spans="1:26" ht="15.6" outlineLevel="1" x14ac:dyDescent="0.3">
      <c r="A34" s="132" t="s">
        <v>129</v>
      </c>
      <c r="B34" s="132"/>
      <c r="C34" s="133"/>
      <c r="D34" s="144" t="s">
        <v>57</v>
      </c>
      <c r="E34" s="132">
        <f>(E28-E33)</f>
        <v>83383</v>
      </c>
      <c r="F34" s="132">
        <f t="shared" ref="F34:H34" si="31">(F28-F33)</f>
        <v>88523</v>
      </c>
      <c r="G34" s="132">
        <f t="shared" si="31"/>
        <v>109433</v>
      </c>
      <c r="H34" s="132">
        <f t="shared" si="31"/>
        <v>128528</v>
      </c>
      <c r="I34" s="132">
        <f>(I28-I33)</f>
        <v>140028.12592786807</v>
      </c>
      <c r="J34" s="132">
        <f>(J28-J33)</f>
        <v>157524.24248985498</v>
      </c>
      <c r="K34" s="132">
        <f t="shared" ref="K34:M34" si="32">(K28-K33)</f>
        <v>177206.44911569319</v>
      </c>
      <c r="L34" s="132">
        <f t="shared" si="32"/>
        <v>199347.891548916</v>
      </c>
      <c r="M34" s="132">
        <f t="shared" si="32"/>
        <v>224255.84431779635</v>
      </c>
      <c r="N34" s="116"/>
      <c r="O34" s="116"/>
      <c r="P34" s="116"/>
      <c r="Q34" s="116"/>
      <c r="R34" s="116"/>
      <c r="S34" s="116"/>
      <c r="T34" s="116"/>
      <c r="U34" s="116"/>
      <c r="V34" s="116"/>
      <c r="W34" s="116"/>
      <c r="X34" s="116"/>
      <c r="Y34" s="116"/>
      <c r="Z34" s="116"/>
    </row>
    <row r="35" spans="1:26" ht="15.6" outlineLevel="1" x14ac:dyDescent="0.3">
      <c r="A35" s="130"/>
      <c r="B35" s="130"/>
      <c r="C35" s="143"/>
      <c r="D35" s="144"/>
      <c r="E35" s="144"/>
      <c r="F35" s="144"/>
      <c r="G35" s="144"/>
      <c r="H35" s="144"/>
      <c r="I35" s="130"/>
      <c r="J35" s="130"/>
      <c r="K35" s="130"/>
      <c r="L35" s="130"/>
      <c r="M35" s="130"/>
      <c r="N35" s="116"/>
      <c r="O35" s="116"/>
      <c r="P35" s="116"/>
      <c r="Q35" s="116"/>
      <c r="R35" s="116"/>
      <c r="S35" s="116"/>
      <c r="T35" s="116"/>
      <c r="U35" s="116"/>
      <c r="V35" s="116"/>
      <c r="W35" s="116"/>
      <c r="X35" s="116"/>
      <c r="Y35" s="116"/>
      <c r="Z35" s="116"/>
    </row>
    <row r="36" spans="1:26" ht="15.6" outlineLevel="1" x14ac:dyDescent="0.3">
      <c r="A36" s="116" t="s">
        <v>130</v>
      </c>
      <c r="B36" s="116"/>
      <c r="C36" s="126"/>
      <c r="D36" s="129" t="s">
        <v>57</v>
      </c>
      <c r="E36" s="129">
        <v>10978</v>
      </c>
      <c r="F36" s="129">
        <v>16950</v>
      </c>
      <c r="G36" s="129">
        <v>19651</v>
      </c>
      <c r="H36" s="129">
        <v>21795</v>
      </c>
      <c r="I36" s="145">
        <f>((I34*I14))</f>
        <v>23534.464130447388</v>
      </c>
      <c r="J36" s="145">
        <f t="shared" ref="J36:M36" si="33">((J34*J14))</f>
        <v>26475.028570068011</v>
      </c>
      <c r="K36" s="145">
        <f t="shared" si="33"/>
        <v>29783.008183266964</v>
      </c>
      <c r="L36" s="145">
        <f t="shared" si="33"/>
        <v>33504.31045228021</v>
      </c>
      <c r="M36" s="145">
        <f t="shared" si="33"/>
        <v>37690.578868841432</v>
      </c>
      <c r="N36" s="116"/>
      <c r="O36" s="116"/>
      <c r="P36" s="116"/>
      <c r="Q36" s="116"/>
      <c r="R36" s="116"/>
      <c r="S36" s="116"/>
      <c r="T36" s="116"/>
      <c r="U36" s="116"/>
      <c r="V36" s="116"/>
      <c r="W36" s="116"/>
      <c r="X36" s="116"/>
      <c r="Y36" s="116"/>
      <c r="Z36" s="116"/>
    </row>
    <row r="37" spans="1:26" ht="16.2" outlineLevel="1" thickBot="1" x14ac:dyDescent="0.35">
      <c r="A37" s="147" t="s">
        <v>131</v>
      </c>
      <c r="B37" s="147"/>
      <c r="C37" s="148"/>
      <c r="D37" s="147" t="s">
        <v>57</v>
      </c>
      <c r="E37" s="147">
        <f>E34-E36</f>
        <v>72405</v>
      </c>
      <c r="F37" s="147">
        <f t="shared" ref="F37:M37" si="34">F34-F36</f>
        <v>71573</v>
      </c>
      <c r="G37" s="147">
        <f t="shared" si="34"/>
        <v>89782</v>
      </c>
      <c r="H37" s="147">
        <f>H34-H36</f>
        <v>106733</v>
      </c>
      <c r="I37" s="147">
        <f t="shared" si="34"/>
        <v>116493.66179742067</v>
      </c>
      <c r="J37" s="147">
        <f t="shared" si="34"/>
        <v>131049.21391978697</v>
      </c>
      <c r="K37" s="147">
        <f t="shared" si="34"/>
        <v>147423.44093242622</v>
      </c>
      <c r="L37" s="147">
        <f>L34-L36</f>
        <v>165843.58109663578</v>
      </c>
      <c r="M37" s="147">
        <f t="shared" si="34"/>
        <v>186565.26544895492</v>
      </c>
      <c r="N37" s="116"/>
      <c r="O37" s="116"/>
      <c r="P37" s="116"/>
      <c r="Q37" s="116"/>
      <c r="R37" s="116"/>
      <c r="S37" s="116"/>
      <c r="T37" s="116"/>
      <c r="U37" s="116"/>
      <c r="V37" s="116"/>
      <c r="W37" s="116"/>
      <c r="X37" s="116"/>
      <c r="Y37" s="116"/>
      <c r="Z37" s="116"/>
    </row>
    <row r="38" spans="1:26" ht="16.2" outlineLevel="1" thickTop="1" x14ac:dyDescent="0.3">
      <c r="A38" s="116"/>
      <c r="B38" s="116"/>
      <c r="C38" s="126"/>
      <c r="D38" s="129"/>
      <c r="E38" s="129"/>
      <c r="F38" s="129"/>
      <c r="G38" s="129"/>
      <c r="H38" s="129"/>
      <c r="I38" s="116"/>
      <c r="J38" s="116"/>
      <c r="K38" s="116"/>
      <c r="L38" s="116"/>
      <c r="M38" s="116"/>
      <c r="N38" s="116"/>
      <c r="O38" s="116"/>
      <c r="P38" s="116"/>
      <c r="Q38" s="116"/>
      <c r="R38" s="116"/>
      <c r="S38" s="116"/>
      <c r="T38" s="116"/>
      <c r="U38" s="116"/>
      <c r="V38" s="116"/>
      <c r="W38" s="116"/>
      <c r="X38" s="116"/>
      <c r="Y38" s="116"/>
      <c r="Z38" s="116"/>
    </row>
    <row r="39" spans="1:26" ht="15.6" x14ac:dyDescent="0.3">
      <c r="A39" s="116"/>
      <c r="B39" s="116"/>
      <c r="C39" s="126"/>
      <c r="D39" s="129"/>
      <c r="E39" s="129"/>
      <c r="F39" s="129"/>
      <c r="G39" s="129"/>
      <c r="H39" s="129"/>
      <c r="I39" s="116"/>
      <c r="J39" s="116"/>
      <c r="K39" s="116"/>
      <c r="L39" s="116"/>
      <c r="M39" s="116"/>
      <c r="N39" s="116"/>
      <c r="O39" s="116"/>
      <c r="P39" s="116"/>
      <c r="Q39" s="116"/>
      <c r="R39" s="116"/>
      <c r="S39" s="116"/>
      <c r="T39" s="116"/>
      <c r="U39" s="116"/>
      <c r="V39" s="116"/>
      <c r="W39" s="116"/>
      <c r="X39" s="116"/>
      <c r="Y39" s="116"/>
      <c r="Z39" s="116"/>
    </row>
    <row r="40" spans="1:26" ht="18" x14ac:dyDescent="0.3">
      <c r="A40" s="142" t="s">
        <v>88</v>
      </c>
      <c r="B40" s="142"/>
      <c r="C40" s="142"/>
      <c r="D40" s="142"/>
      <c r="E40" s="142"/>
      <c r="F40" s="142"/>
      <c r="G40" s="142"/>
      <c r="H40" s="142"/>
      <c r="I40" s="142"/>
      <c r="J40" s="142"/>
      <c r="K40" s="142"/>
      <c r="L40" s="142"/>
      <c r="M40" s="142"/>
      <c r="N40" s="116"/>
      <c r="O40" s="116"/>
      <c r="P40" s="116"/>
      <c r="Q40" s="116"/>
      <c r="R40" s="116"/>
      <c r="S40" s="116"/>
      <c r="T40" s="116"/>
      <c r="U40" s="116"/>
      <c r="V40" s="116"/>
      <c r="W40" s="116"/>
      <c r="X40" s="116"/>
      <c r="Y40" s="116"/>
      <c r="Z40" s="116"/>
    </row>
    <row r="41" spans="1:26" ht="15.6" outlineLevel="1" x14ac:dyDescent="0.3">
      <c r="A41" s="116"/>
      <c r="B41" s="116"/>
      <c r="C41" s="126"/>
      <c r="D41" s="129"/>
      <c r="E41" s="129"/>
      <c r="F41" s="129"/>
      <c r="G41" s="129"/>
      <c r="H41" s="129"/>
      <c r="I41" s="116"/>
      <c r="J41" s="116"/>
      <c r="K41" s="116"/>
      <c r="L41" s="116"/>
      <c r="M41" s="116"/>
      <c r="N41" s="116"/>
      <c r="O41" s="116"/>
      <c r="P41" s="116"/>
      <c r="Q41" s="116"/>
      <c r="R41" s="116"/>
      <c r="S41" s="116"/>
      <c r="T41" s="116"/>
      <c r="U41" s="116"/>
      <c r="V41" s="116"/>
      <c r="W41" s="116"/>
      <c r="X41" s="116"/>
      <c r="Y41" s="116"/>
      <c r="Z41" s="116"/>
    </row>
    <row r="42" spans="1:26" ht="15.6" outlineLevel="1" x14ac:dyDescent="0.3">
      <c r="A42" s="130" t="s">
        <v>89</v>
      </c>
      <c r="B42" s="116"/>
      <c r="C42" s="126"/>
      <c r="D42" s="129"/>
      <c r="E42" s="129"/>
      <c r="F42" s="129"/>
      <c r="G42" s="129"/>
      <c r="H42" s="129"/>
      <c r="I42" s="116"/>
      <c r="J42" s="116"/>
      <c r="K42" s="116"/>
      <c r="L42" s="116"/>
      <c r="M42" s="116"/>
      <c r="N42" s="116"/>
      <c r="O42" s="116"/>
      <c r="P42" s="116"/>
      <c r="Q42" s="116"/>
      <c r="R42" s="116"/>
      <c r="S42" s="116"/>
      <c r="T42" s="116"/>
      <c r="U42" s="116"/>
      <c r="V42" s="116"/>
      <c r="W42" s="116"/>
      <c r="X42" s="116"/>
      <c r="Y42" s="116"/>
      <c r="Z42" s="116"/>
    </row>
    <row r="43" spans="1:26" ht="15.6" outlineLevel="1" x14ac:dyDescent="0.3">
      <c r="A43" s="116" t="s">
        <v>50</v>
      </c>
      <c r="B43" s="116"/>
      <c r="D43" s="129" t="s">
        <v>57</v>
      </c>
      <c r="E43" s="129">
        <v>13931</v>
      </c>
      <c r="F43" s="129">
        <v>34704</v>
      </c>
      <c r="G43" s="129">
        <v>18315</v>
      </c>
      <c r="H43" s="129">
        <v>30242</v>
      </c>
      <c r="I43" s="116">
        <f>I81</f>
        <v>109755.07654568669</v>
      </c>
      <c r="J43" s="116">
        <f t="shared" ref="J43:M43" si="35">J81</f>
        <v>203481.8395404249</v>
      </c>
      <c r="K43" s="116">
        <f t="shared" si="35"/>
        <v>313673.09209480986</v>
      </c>
      <c r="L43" s="116">
        <f t="shared" si="35"/>
        <v>442159.5126661245</v>
      </c>
      <c r="M43" s="116">
        <f t="shared" si="35"/>
        <v>591033.59010841628</v>
      </c>
      <c r="N43" s="116"/>
      <c r="O43" s="116"/>
      <c r="P43" s="116"/>
      <c r="Q43" s="116"/>
      <c r="R43" s="116"/>
      <c r="S43" s="116"/>
      <c r="T43" s="116"/>
      <c r="U43" s="116"/>
      <c r="V43" s="116"/>
      <c r="W43" s="116"/>
      <c r="X43" s="116"/>
      <c r="Y43" s="116"/>
      <c r="Z43" s="116"/>
    </row>
    <row r="44" spans="1:26" ht="15.6" outlineLevel="1" x14ac:dyDescent="0.3">
      <c r="A44" s="116" t="s">
        <v>132</v>
      </c>
      <c r="B44" s="116"/>
      <c r="D44" s="129" t="s">
        <v>57</v>
      </c>
      <c r="E44" s="129">
        <v>44261</v>
      </c>
      <c r="F44" s="129">
        <v>48688</v>
      </c>
      <c r="G44" s="129">
        <v>56924</v>
      </c>
      <c r="H44" s="129">
        <v>69905</v>
      </c>
      <c r="I44" s="149">
        <f>((I26/365)*I15)</f>
        <v>73950.288326663052</v>
      </c>
      <c r="J44" s="149">
        <f t="shared" ref="J44:M45" si="36">((J26/365)*J15)</f>
        <v>83190.166785240217</v>
      </c>
      <c r="K44" s="149">
        <f t="shared" si="36"/>
        <v>93584.541809836766</v>
      </c>
      <c r="L44" s="149">
        <f t="shared" si="36"/>
        <v>105277.66446684132</v>
      </c>
      <c r="M44" s="149">
        <f t="shared" si="36"/>
        <v>118431.80958361905</v>
      </c>
      <c r="N44" s="116"/>
      <c r="O44" s="116"/>
      <c r="P44" s="116"/>
      <c r="Q44" s="116"/>
      <c r="R44" s="116"/>
      <c r="S44" s="116"/>
      <c r="T44" s="116"/>
      <c r="U44" s="116"/>
      <c r="V44" s="116"/>
      <c r="W44" s="116"/>
      <c r="X44" s="116"/>
      <c r="Y44" s="116"/>
      <c r="Z44" s="116"/>
    </row>
    <row r="45" spans="1:26" ht="15.6" outlineLevel="1" x14ac:dyDescent="0.3">
      <c r="A45" s="116" t="s">
        <v>133</v>
      </c>
      <c r="B45" s="116"/>
      <c r="D45" s="129" t="s">
        <v>57</v>
      </c>
      <c r="E45" s="129">
        <v>3742</v>
      </c>
      <c r="F45" s="129">
        <v>2500</v>
      </c>
      <c r="G45" s="129">
        <v>1246</v>
      </c>
      <c r="H45" s="129">
        <v>938</v>
      </c>
      <c r="I45" s="116">
        <f>((I27/365)*I16)</f>
        <v>3076.8063598296608</v>
      </c>
      <c r="J45" s="116">
        <f t="shared" si="36"/>
        <v>3461.2445743207459</v>
      </c>
      <c r="K45" s="116">
        <f t="shared" si="36"/>
        <v>3893.7172516531236</v>
      </c>
      <c r="L45" s="116">
        <f t="shared" si="36"/>
        <v>4380.2261615090993</v>
      </c>
      <c r="M45" s="116">
        <f t="shared" si="36"/>
        <v>4927.5229776437754</v>
      </c>
      <c r="N45" s="116"/>
      <c r="O45" s="116"/>
      <c r="P45" s="116"/>
      <c r="Q45" s="116"/>
      <c r="R45" s="116"/>
      <c r="S45" s="116"/>
      <c r="T45" s="116"/>
      <c r="U45" s="116"/>
      <c r="V45" s="116"/>
      <c r="W45" s="116"/>
      <c r="X45" s="116"/>
      <c r="Y45" s="116"/>
      <c r="Z45" s="116"/>
    </row>
    <row r="46" spans="1:26" ht="15.6" outlineLevel="1" x14ac:dyDescent="0.3">
      <c r="A46" s="116" t="s">
        <v>134</v>
      </c>
      <c r="B46" s="116"/>
      <c r="C46" s="126"/>
      <c r="D46" s="129" t="s">
        <v>57</v>
      </c>
      <c r="E46" s="129">
        <v>87546</v>
      </c>
      <c r="F46" s="129">
        <v>109987</v>
      </c>
      <c r="G46" s="129">
        <v>154552</v>
      </c>
      <c r="H46" s="129">
        <v>229789</v>
      </c>
      <c r="I46" s="116">
        <f>I98</f>
        <v>236493.57146400027</v>
      </c>
      <c r="J46" s="116">
        <f t="shared" ref="J46:M46" si="37">J98</f>
        <v>242219.23217983457</v>
      </c>
      <c r="K46" s="116">
        <f t="shared" si="37"/>
        <v>247108.90944092054</v>
      </c>
      <c r="L46" s="116">
        <f>L98</f>
        <v>251284.66223246499</v>
      </c>
      <c r="M46" s="116">
        <f t="shared" si="37"/>
        <v>254850.72813928078</v>
      </c>
      <c r="N46" s="116"/>
      <c r="O46" s="116"/>
      <c r="P46" s="116"/>
      <c r="Q46" s="116"/>
      <c r="R46" s="116"/>
      <c r="S46" s="116"/>
      <c r="T46" s="116"/>
      <c r="U46" s="116"/>
      <c r="V46" s="116"/>
      <c r="W46" s="116"/>
      <c r="X46" s="116"/>
      <c r="Y46" s="116"/>
      <c r="Z46" s="116"/>
    </row>
    <row r="47" spans="1:26" ht="16.2" outlineLevel="1" thickBot="1" x14ac:dyDescent="0.35">
      <c r="A47" s="147" t="s">
        <v>90</v>
      </c>
      <c r="B47" s="147"/>
      <c r="C47" s="148"/>
      <c r="D47" s="129" t="s">
        <v>57</v>
      </c>
      <c r="E47" s="147">
        <f>SUM(E43,E44,E45,E46)</f>
        <v>149480</v>
      </c>
      <c r="F47" s="147">
        <f t="shared" ref="F47:G47" si="38">SUM(F43,F44,F45,F46)</f>
        <v>195879</v>
      </c>
      <c r="G47" s="147">
        <f t="shared" si="38"/>
        <v>231037</v>
      </c>
      <c r="H47" s="147">
        <f>SUM(H43,H44,H45,H46)</f>
        <v>330874</v>
      </c>
      <c r="I47" s="147">
        <f>SUM(I43:I46)</f>
        <v>423275.74269617966</v>
      </c>
      <c r="J47" s="147">
        <f t="shared" ref="J47:M47" si="39">SUM(J43:J46)</f>
        <v>532352.48307982041</v>
      </c>
      <c r="K47" s="147">
        <f t="shared" si="39"/>
        <v>658260.26059722027</v>
      </c>
      <c r="L47" s="147">
        <f t="shared" si="39"/>
        <v>803102.06552693981</v>
      </c>
      <c r="M47" s="147">
        <f t="shared" si="39"/>
        <v>969243.65080895985</v>
      </c>
      <c r="N47" s="116"/>
      <c r="O47" s="116"/>
      <c r="P47" s="116"/>
      <c r="Q47" s="116"/>
      <c r="R47" s="116"/>
      <c r="S47" s="116"/>
      <c r="T47" s="116"/>
      <c r="U47" s="116"/>
      <c r="V47" s="116"/>
      <c r="W47" s="116"/>
      <c r="X47" s="116"/>
      <c r="Y47" s="116"/>
      <c r="Z47" s="116"/>
    </row>
    <row r="48" spans="1:26" ht="16.2" outlineLevel="1" thickTop="1" x14ac:dyDescent="0.3">
      <c r="A48" s="130"/>
      <c r="B48" s="130"/>
      <c r="C48" s="143"/>
      <c r="D48" s="144"/>
      <c r="E48" s="144"/>
      <c r="F48" s="144"/>
      <c r="G48" s="144"/>
      <c r="H48" s="144"/>
      <c r="I48" s="130"/>
      <c r="J48" s="130"/>
      <c r="K48" s="130"/>
      <c r="L48" s="130"/>
      <c r="M48" s="130"/>
      <c r="N48" s="116"/>
      <c r="O48" s="116"/>
      <c r="P48" s="116"/>
      <c r="Q48" s="116"/>
      <c r="R48" s="116"/>
      <c r="S48" s="116"/>
      <c r="T48" s="116"/>
      <c r="U48" s="116"/>
      <c r="V48" s="116"/>
      <c r="W48" s="116"/>
      <c r="X48" s="116"/>
      <c r="Y48" s="116"/>
      <c r="Z48" s="116"/>
    </row>
    <row r="49" spans="1:26" ht="15.6" outlineLevel="1" x14ac:dyDescent="0.3">
      <c r="A49" s="130" t="s">
        <v>91</v>
      </c>
      <c r="B49" s="116"/>
      <c r="N49" s="116"/>
      <c r="O49" s="116"/>
      <c r="P49" s="116"/>
      <c r="Q49" s="116"/>
      <c r="R49" s="116"/>
      <c r="S49" s="116"/>
      <c r="T49" s="116"/>
      <c r="U49" s="116"/>
      <c r="V49" s="116"/>
      <c r="W49" s="116"/>
      <c r="X49" s="116"/>
      <c r="Y49" s="116"/>
      <c r="Z49" s="116"/>
    </row>
    <row r="50" spans="1:26" ht="15.6" outlineLevel="1" x14ac:dyDescent="0.3">
      <c r="A50" s="116" t="s">
        <v>135</v>
      </c>
      <c r="B50" s="116"/>
      <c r="D50" s="150" t="s">
        <v>57</v>
      </c>
      <c r="E50" s="150">
        <v>19000</v>
      </c>
      <c r="F50" s="150">
        <v>18095</v>
      </c>
      <c r="G50" s="150">
        <v>21996</v>
      </c>
      <c r="H50" s="150">
        <v>27724</v>
      </c>
      <c r="I50" s="116">
        <f>((I27/365*I17))</f>
        <v>29260.580898758999</v>
      </c>
      <c r="J50" s="116">
        <f t="shared" ref="J50:M50" si="40">((J27/365*J17))</f>
        <v>32916.607362612784</v>
      </c>
      <c r="K50" s="116">
        <f t="shared" si="40"/>
        <v>37029.443947586406</v>
      </c>
      <c r="L50" s="116">
        <f t="shared" si="40"/>
        <v>41656.167780670243</v>
      </c>
      <c r="M50" s="116">
        <f t="shared" si="40"/>
        <v>46860.987613735233</v>
      </c>
      <c r="N50" s="116"/>
      <c r="O50" s="116"/>
      <c r="P50" s="116"/>
      <c r="Q50" s="116"/>
      <c r="R50" s="116"/>
      <c r="S50" s="116"/>
      <c r="T50" s="116"/>
      <c r="U50" s="116"/>
      <c r="V50" s="116"/>
      <c r="W50" s="116"/>
      <c r="X50" s="116"/>
      <c r="Y50" s="116"/>
      <c r="Z50" s="116"/>
    </row>
    <row r="51" spans="1:26" ht="15.6" outlineLevel="1" x14ac:dyDescent="0.3">
      <c r="A51" s="116" t="s">
        <v>49</v>
      </c>
      <c r="B51" s="116"/>
      <c r="C51" s="126"/>
      <c r="D51" s="150" t="s">
        <v>57</v>
      </c>
      <c r="E51" s="129">
        <v>61270</v>
      </c>
      <c r="F51" s="129">
        <v>59965</v>
      </c>
      <c r="G51" s="129">
        <v>67127</v>
      </c>
      <c r="H51" s="129">
        <v>60588</v>
      </c>
      <c r="I51" s="116">
        <f>(H51+I19)</f>
        <v>55672</v>
      </c>
      <c r="J51" s="116">
        <f t="shared" ref="J51:L51" si="41">(I51+J19)</f>
        <v>50756</v>
      </c>
      <c r="K51" s="116">
        <f>(J51+K19)</f>
        <v>45840</v>
      </c>
      <c r="L51" s="116">
        <f t="shared" si="41"/>
        <v>40924</v>
      </c>
      <c r="M51" s="116">
        <f>(L51+M19)</f>
        <v>36008</v>
      </c>
      <c r="N51" s="116"/>
      <c r="O51" s="116"/>
      <c r="P51" s="116"/>
      <c r="Q51" s="116"/>
      <c r="R51" s="116"/>
      <c r="S51" s="116"/>
      <c r="T51" s="116"/>
      <c r="U51" s="116"/>
      <c r="V51" s="116"/>
      <c r="W51" s="116"/>
      <c r="X51" s="116"/>
      <c r="Y51" s="116"/>
      <c r="Z51" s="116"/>
    </row>
    <row r="52" spans="1:26" ht="15.6" outlineLevel="1" x14ac:dyDescent="0.3">
      <c r="A52" s="132" t="s">
        <v>136</v>
      </c>
      <c r="B52" s="132"/>
      <c r="C52" s="133"/>
      <c r="D52" s="150" t="s">
        <v>57</v>
      </c>
      <c r="E52" s="132">
        <f>SUM(E50,E51)</f>
        <v>80270</v>
      </c>
      <c r="F52" s="132">
        <f t="shared" ref="F52:G52" si="42">SUM(F50,F51)</f>
        <v>78060</v>
      </c>
      <c r="G52" s="132">
        <f t="shared" si="42"/>
        <v>89123</v>
      </c>
      <c r="H52" s="132">
        <f>SUM(H50,H51)</f>
        <v>88312</v>
      </c>
      <c r="I52" s="132">
        <f>SUM(I50:I51)</f>
        <v>84932.580898758999</v>
      </c>
      <c r="J52" s="132">
        <f t="shared" ref="J52:M52" si="43">SUM(J50:J51)</f>
        <v>83672.607362612791</v>
      </c>
      <c r="K52" s="132">
        <f t="shared" si="43"/>
        <v>82869.443947586406</v>
      </c>
      <c r="L52" s="132">
        <f t="shared" si="43"/>
        <v>82580.16778067025</v>
      </c>
      <c r="M52" s="132">
        <f t="shared" si="43"/>
        <v>82868.987613735226</v>
      </c>
      <c r="N52" s="116"/>
      <c r="O52" s="116"/>
      <c r="P52" s="116"/>
      <c r="Q52" s="116"/>
      <c r="R52" s="116"/>
      <c r="S52" s="116"/>
      <c r="T52" s="116"/>
      <c r="U52" s="116"/>
      <c r="V52" s="116"/>
      <c r="W52" s="116"/>
      <c r="X52" s="116"/>
      <c r="Y52" s="116"/>
      <c r="Z52" s="116"/>
    </row>
    <row r="53" spans="1:26" ht="15.6" outlineLevel="1" x14ac:dyDescent="0.3">
      <c r="A53" s="130" t="s">
        <v>137</v>
      </c>
      <c r="B53" s="116"/>
      <c r="C53" s="126"/>
      <c r="D53" s="150"/>
      <c r="E53" s="129"/>
      <c r="F53" s="129"/>
      <c r="G53" s="129"/>
      <c r="H53" s="129"/>
      <c r="I53" s="116"/>
      <c r="J53" s="116"/>
      <c r="K53" s="116"/>
      <c r="L53" s="116"/>
      <c r="M53" s="116"/>
      <c r="N53" s="116"/>
      <c r="O53" s="116"/>
      <c r="P53" s="116"/>
      <c r="Q53" s="116"/>
      <c r="R53" s="116"/>
      <c r="S53" s="116"/>
      <c r="T53" s="116"/>
      <c r="U53" s="116"/>
      <c r="V53" s="116"/>
      <c r="W53" s="116"/>
      <c r="X53" s="116"/>
      <c r="Y53" s="116"/>
      <c r="Z53" s="116"/>
    </row>
    <row r="54" spans="1:26" ht="15.6" outlineLevel="1" x14ac:dyDescent="0.3">
      <c r="A54" s="116" t="s">
        <v>138</v>
      </c>
      <c r="B54" s="116"/>
      <c r="C54" s="126"/>
      <c r="D54" s="150" t="s">
        <v>57</v>
      </c>
      <c r="E54" s="129">
        <v>86939</v>
      </c>
      <c r="F54" s="129">
        <v>93718</v>
      </c>
      <c r="G54" s="129">
        <v>100923</v>
      </c>
      <c r="H54" s="129">
        <v>109095</v>
      </c>
      <c r="I54" s="129">
        <f>(H54+I20)</f>
        <v>88382.5</v>
      </c>
      <c r="J54" s="129">
        <f t="shared" ref="J54:M54" si="44">(I54+J20)</f>
        <v>67670</v>
      </c>
      <c r="K54" s="129">
        <f t="shared" si="44"/>
        <v>46957.5</v>
      </c>
      <c r="L54" s="129">
        <f t="shared" si="44"/>
        <v>26245</v>
      </c>
      <c r="M54" s="129">
        <f t="shared" si="44"/>
        <v>5532.5</v>
      </c>
      <c r="N54" s="116"/>
      <c r="O54" s="116"/>
      <c r="P54" s="116"/>
      <c r="Q54" s="116"/>
      <c r="R54" s="116"/>
      <c r="S54" s="116"/>
      <c r="T54" s="116"/>
      <c r="U54" s="116"/>
      <c r="V54" s="116"/>
      <c r="W54" s="116"/>
      <c r="X54" s="116"/>
      <c r="Y54" s="116"/>
      <c r="Z54" s="116"/>
    </row>
    <row r="55" spans="1:26" ht="15.6" outlineLevel="1" x14ac:dyDescent="0.3">
      <c r="A55" s="116" t="s">
        <v>140</v>
      </c>
      <c r="B55" s="116"/>
      <c r="C55" s="126"/>
      <c r="D55" s="150" t="s">
        <v>57</v>
      </c>
      <c r="E55" s="129">
        <v>84281</v>
      </c>
      <c r="F55" s="129">
        <v>118848</v>
      </c>
      <c r="G55" s="129">
        <v>173144</v>
      </c>
      <c r="H55" s="129">
        <v>237731</v>
      </c>
      <c r="I55" s="116">
        <f>H55+I37</f>
        <v>354224.6617974207</v>
      </c>
      <c r="J55" s="116">
        <f t="shared" ref="J55:L55" si="45">I55+J37</f>
        <v>485273.87571720767</v>
      </c>
      <c r="K55" s="116">
        <f t="shared" si="45"/>
        <v>632697.31664963393</v>
      </c>
      <c r="L55" s="116">
        <f t="shared" si="45"/>
        <v>798540.89774626971</v>
      </c>
      <c r="M55" s="116">
        <f>L55+M37</f>
        <v>985106.1631952246</v>
      </c>
      <c r="N55" s="116"/>
      <c r="O55" s="116"/>
      <c r="P55" s="116"/>
      <c r="Q55" s="116"/>
      <c r="R55" s="116"/>
      <c r="S55" s="116"/>
      <c r="T55" s="116"/>
      <c r="U55" s="116"/>
      <c r="V55" s="116"/>
      <c r="W55" s="116"/>
      <c r="X55" s="116"/>
      <c r="Y55" s="116"/>
      <c r="Z55" s="116"/>
    </row>
    <row r="56" spans="1:26" ht="15.6" outlineLevel="1" x14ac:dyDescent="0.3">
      <c r="A56" s="151" t="s">
        <v>137</v>
      </c>
      <c r="B56" s="151"/>
      <c r="C56" s="152"/>
      <c r="D56" s="150" t="s">
        <v>57</v>
      </c>
      <c r="E56" s="151">
        <f>SUM(E54:E55)</f>
        <v>171220</v>
      </c>
      <c r="F56" s="151">
        <f t="shared" ref="F56" si="46">SUM(F54:F55)</f>
        <v>212566</v>
      </c>
      <c r="G56" s="151">
        <f>SUM(G54:G55)</f>
        <v>274067</v>
      </c>
      <c r="H56" s="151">
        <f>SUM(H54:H55)</f>
        <v>346826</v>
      </c>
      <c r="I56" s="151">
        <f>SUM(I54:I55)</f>
        <v>442607.1617974207</v>
      </c>
      <c r="J56" s="151">
        <f t="shared" ref="J56:M56" si="47">SUM(J54:J55)</f>
        <v>552943.87571720767</v>
      </c>
      <c r="K56" s="151">
        <f t="shared" si="47"/>
        <v>679654.81664963393</v>
      </c>
      <c r="L56" s="151">
        <f t="shared" si="47"/>
        <v>824785.89774626971</v>
      </c>
      <c r="M56" s="151">
        <f t="shared" si="47"/>
        <v>990638.6631952246</v>
      </c>
      <c r="N56" s="116"/>
      <c r="O56" s="116"/>
      <c r="P56" s="116"/>
      <c r="Q56" s="116"/>
      <c r="R56" s="116"/>
      <c r="S56" s="116"/>
      <c r="T56" s="116"/>
      <c r="U56" s="116"/>
      <c r="V56" s="116"/>
      <c r="W56" s="116"/>
      <c r="X56" s="116"/>
      <c r="Y56" s="116"/>
      <c r="Z56" s="116"/>
    </row>
    <row r="57" spans="1:26" ht="16.2" outlineLevel="1" thickBot="1" x14ac:dyDescent="0.35">
      <c r="A57" s="147" t="s">
        <v>141</v>
      </c>
      <c r="B57" s="147"/>
      <c r="C57" s="148"/>
      <c r="D57" s="150" t="s">
        <v>57</v>
      </c>
      <c r="E57" s="147">
        <f>(E52+E56)</f>
        <v>251490</v>
      </c>
      <c r="F57" s="147">
        <f t="shared" ref="F57:L57" si="48">(F52+F56)</f>
        <v>290626</v>
      </c>
      <c r="G57" s="147">
        <f t="shared" si="48"/>
        <v>363190</v>
      </c>
      <c r="H57" s="147">
        <f t="shared" si="48"/>
        <v>435138</v>
      </c>
      <c r="I57" s="147">
        <f>(I52+I56)</f>
        <v>527539.74269617966</v>
      </c>
      <c r="J57" s="147">
        <f t="shared" si="48"/>
        <v>636616.48307982041</v>
      </c>
      <c r="K57" s="147">
        <f t="shared" si="48"/>
        <v>762524.26059722039</v>
      </c>
      <c r="L57" s="147">
        <f t="shared" si="48"/>
        <v>907366.06552693993</v>
      </c>
      <c r="M57" s="147">
        <f>(M52+M56)</f>
        <v>1073507.6508089597</v>
      </c>
      <c r="N57" s="116"/>
      <c r="O57" s="116"/>
      <c r="P57" s="116"/>
      <c r="Q57" s="116"/>
      <c r="R57" s="116"/>
      <c r="S57" s="116"/>
      <c r="T57" s="116"/>
      <c r="U57" s="116"/>
      <c r="V57" s="116"/>
      <c r="W57" s="116"/>
      <c r="X57" s="116"/>
      <c r="Y57" s="116"/>
      <c r="Z57" s="116"/>
    </row>
    <row r="58" spans="1:26" ht="16.2" outlineLevel="1" thickTop="1" x14ac:dyDescent="0.3">
      <c r="A58" s="116"/>
      <c r="B58" s="116"/>
      <c r="C58" s="126"/>
      <c r="D58" s="129"/>
      <c r="E58" s="129"/>
      <c r="F58" s="129"/>
      <c r="G58" s="129"/>
      <c r="H58" s="129"/>
      <c r="I58" s="116"/>
      <c r="J58" s="116"/>
      <c r="K58" s="116"/>
      <c r="L58" s="116"/>
      <c r="M58" s="116"/>
      <c r="N58" s="116"/>
      <c r="O58" s="116"/>
      <c r="P58" s="116"/>
      <c r="Q58" s="116"/>
      <c r="R58" s="116"/>
      <c r="S58" s="116"/>
      <c r="T58" s="116"/>
      <c r="U58" s="116"/>
      <c r="V58" s="116"/>
      <c r="W58" s="116"/>
      <c r="X58" s="116"/>
      <c r="Y58" s="116"/>
      <c r="Z58" s="116"/>
    </row>
    <row r="59" spans="1:26" ht="15.6" outlineLevel="1" x14ac:dyDescent="0.3">
      <c r="A59" s="139"/>
      <c r="B59" s="153"/>
      <c r="C59" s="154"/>
      <c r="D59" s="153"/>
      <c r="E59" s="153"/>
      <c r="F59" s="153"/>
      <c r="G59" s="153"/>
      <c r="H59" s="153"/>
      <c r="I59" s="153"/>
      <c r="J59" s="153"/>
      <c r="K59" s="153"/>
      <c r="L59" s="153"/>
      <c r="M59" s="153"/>
      <c r="N59" s="116"/>
      <c r="O59" s="116"/>
      <c r="P59" s="116"/>
      <c r="Q59" s="116"/>
      <c r="R59" s="116"/>
      <c r="S59" s="116"/>
      <c r="T59" s="116"/>
      <c r="U59" s="116"/>
      <c r="V59" s="116"/>
      <c r="W59" s="116"/>
      <c r="X59" s="116"/>
      <c r="Y59" s="116"/>
      <c r="Z59" s="116"/>
    </row>
    <row r="60" spans="1:26" ht="15.6" outlineLevel="1" x14ac:dyDescent="0.3">
      <c r="A60" s="153"/>
      <c r="B60" s="153"/>
      <c r="C60" s="154"/>
      <c r="D60" s="153"/>
      <c r="E60" s="153"/>
      <c r="F60" s="153"/>
      <c r="G60" s="153"/>
      <c r="H60" s="153"/>
      <c r="I60" s="153"/>
      <c r="J60" s="153"/>
      <c r="K60" s="153"/>
      <c r="L60" s="153"/>
      <c r="M60" s="153"/>
      <c r="N60" s="116"/>
      <c r="O60" s="116"/>
      <c r="P60" s="116"/>
      <c r="Q60" s="116"/>
      <c r="R60" s="116"/>
      <c r="S60" s="116"/>
      <c r="T60" s="116"/>
      <c r="U60" s="116"/>
      <c r="V60" s="116"/>
      <c r="W60" s="116"/>
      <c r="X60" s="116"/>
      <c r="Y60" s="116"/>
      <c r="Z60" s="116"/>
    </row>
    <row r="61" spans="1:26" ht="15.6" x14ac:dyDescent="0.3">
      <c r="A61" s="116"/>
      <c r="B61" s="116"/>
      <c r="C61" s="126"/>
      <c r="D61" s="129"/>
      <c r="E61" s="129"/>
      <c r="F61" s="129"/>
      <c r="G61" s="129"/>
      <c r="H61" s="129"/>
      <c r="I61" s="116"/>
      <c r="J61" s="116"/>
      <c r="K61" s="116"/>
      <c r="L61" s="116"/>
      <c r="M61" s="116"/>
      <c r="N61" s="116"/>
      <c r="O61" s="116"/>
      <c r="P61" s="116"/>
      <c r="Q61" s="116"/>
      <c r="R61" s="116"/>
      <c r="S61" s="116"/>
      <c r="T61" s="116"/>
      <c r="U61" s="116"/>
      <c r="V61" s="116"/>
      <c r="W61" s="116"/>
      <c r="X61" s="116"/>
      <c r="Y61" s="116"/>
      <c r="Z61" s="116"/>
    </row>
    <row r="62" spans="1:26" ht="18" x14ac:dyDescent="0.3">
      <c r="A62" s="142" t="s">
        <v>142</v>
      </c>
      <c r="B62" s="142"/>
      <c r="C62" s="142"/>
      <c r="D62" s="142"/>
      <c r="E62" s="142"/>
      <c r="F62" s="142"/>
      <c r="G62" s="142"/>
      <c r="H62" s="142"/>
      <c r="I62" s="142"/>
      <c r="J62" s="142"/>
      <c r="K62" s="142"/>
      <c r="L62" s="142"/>
      <c r="M62" s="142"/>
      <c r="N62" s="116"/>
      <c r="O62" s="116"/>
      <c r="P62" s="116"/>
      <c r="Q62" s="116"/>
      <c r="R62" s="116"/>
      <c r="S62" s="116"/>
      <c r="T62" s="116"/>
      <c r="U62" s="116"/>
      <c r="V62" s="116"/>
      <c r="W62" s="116"/>
      <c r="X62" s="116"/>
      <c r="Y62" s="116"/>
      <c r="Z62" s="116"/>
    </row>
    <row r="63" spans="1:26" ht="15.6" outlineLevel="1" x14ac:dyDescent="0.3">
      <c r="A63" s="130"/>
      <c r="B63" s="116"/>
      <c r="C63" s="126"/>
      <c r="D63" s="144"/>
      <c r="E63" s="129"/>
      <c r="F63" s="129"/>
      <c r="G63" s="129"/>
      <c r="H63" s="129"/>
      <c r="I63" s="116"/>
      <c r="J63" s="116"/>
      <c r="K63" s="116"/>
      <c r="L63" s="116"/>
      <c r="M63" s="116"/>
      <c r="N63" s="116"/>
      <c r="O63" s="116"/>
      <c r="P63" s="116"/>
      <c r="Q63" s="116"/>
      <c r="R63" s="116"/>
      <c r="S63" s="116"/>
      <c r="T63" s="116"/>
      <c r="U63" s="116"/>
      <c r="V63" s="116"/>
      <c r="W63" s="116"/>
      <c r="X63" s="116"/>
      <c r="Y63" s="116"/>
      <c r="Z63" s="116"/>
    </row>
    <row r="64" spans="1:26" ht="15.6" outlineLevel="1" x14ac:dyDescent="0.3">
      <c r="A64" s="130" t="s">
        <v>143</v>
      </c>
      <c r="B64" s="116"/>
      <c r="C64" s="126"/>
      <c r="D64" s="129"/>
      <c r="E64" s="129"/>
      <c r="F64" s="129"/>
      <c r="G64" s="129"/>
      <c r="H64" s="129"/>
      <c r="I64" s="116"/>
      <c r="J64" s="116"/>
      <c r="K64" s="116"/>
      <c r="L64" s="116"/>
      <c r="M64" s="116"/>
      <c r="N64" s="116"/>
      <c r="O64" s="116"/>
      <c r="P64" s="116"/>
      <c r="Q64" s="116"/>
      <c r="R64" s="116"/>
      <c r="S64" s="116"/>
      <c r="T64" s="116"/>
      <c r="U64" s="116"/>
      <c r="V64" s="116"/>
      <c r="W64" s="116"/>
      <c r="X64" s="116"/>
      <c r="Y64" s="116"/>
      <c r="Z64" s="116"/>
    </row>
    <row r="65" spans="1:26" ht="15.6" outlineLevel="1" x14ac:dyDescent="0.3">
      <c r="A65" s="116" t="s">
        <v>131</v>
      </c>
      <c r="B65" s="116"/>
      <c r="C65" s="126"/>
      <c r="D65" s="129" t="s">
        <v>57</v>
      </c>
      <c r="E65" s="129">
        <v>72738</v>
      </c>
      <c r="F65" s="129">
        <v>72631</v>
      </c>
      <c r="G65" s="129">
        <v>88136</v>
      </c>
      <c r="H65" s="129">
        <v>101832</v>
      </c>
      <c r="I65" s="116">
        <f>I37</f>
        <v>116493.66179742067</v>
      </c>
      <c r="J65" s="116">
        <f t="shared" ref="J65:M65" si="49">J37</f>
        <v>131049.21391978697</v>
      </c>
      <c r="K65" s="116">
        <f t="shared" si="49"/>
        <v>147423.44093242622</v>
      </c>
      <c r="L65" s="116">
        <f t="shared" si="49"/>
        <v>165843.58109663578</v>
      </c>
      <c r="M65" s="116">
        <f t="shared" si="49"/>
        <v>186565.26544895492</v>
      </c>
      <c r="N65" s="116"/>
      <c r="O65" s="116"/>
      <c r="P65" s="116"/>
      <c r="Q65" s="116"/>
      <c r="R65" s="116"/>
      <c r="S65" s="116"/>
      <c r="T65" s="116"/>
      <c r="U65" s="116"/>
      <c r="V65" s="116"/>
      <c r="W65" s="116"/>
      <c r="X65" s="116"/>
      <c r="Y65" s="116"/>
      <c r="Z65" s="116"/>
    </row>
    <row r="66" spans="1:26" ht="15.6" outlineLevel="1" x14ac:dyDescent="0.3">
      <c r="A66" s="116" t="s">
        <v>144</v>
      </c>
      <c r="B66" s="116"/>
      <c r="C66" s="126"/>
      <c r="D66" s="129" t="s">
        <v>57</v>
      </c>
      <c r="E66" s="129">
        <v>14460</v>
      </c>
      <c r="F66" s="129">
        <v>13861</v>
      </c>
      <c r="G66" s="129">
        <v>22287</v>
      </c>
      <c r="H66" s="129">
        <v>34153</v>
      </c>
      <c r="I66" s="116">
        <f>I97</f>
        <v>33550.678535999738</v>
      </c>
      <c r="J66" s="116">
        <f t="shared" ref="J66:M66" si="50">J97</f>
        <v>34529.589284165711</v>
      </c>
      <c r="K66" s="116">
        <f t="shared" si="50"/>
        <v>35365.572738914016</v>
      </c>
      <c r="L66" s="116">
        <f t="shared" si="50"/>
        <v>36079.49720845557</v>
      </c>
      <c r="M66" s="116">
        <f t="shared" si="50"/>
        <v>36689.184093184216</v>
      </c>
      <c r="N66" s="116"/>
      <c r="O66" s="116"/>
      <c r="P66" s="116"/>
      <c r="Q66" s="116"/>
      <c r="R66" s="116"/>
      <c r="S66" s="116"/>
      <c r="T66" s="116"/>
      <c r="U66" s="116"/>
      <c r="V66" s="116"/>
      <c r="W66" s="116"/>
      <c r="X66" s="116"/>
      <c r="Y66" s="116"/>
      <c r="Z66" s="116"/>
    </row>
    <row r="67" spans="1:26" ht="15.6" outlineLevel="1" x14ac:dyDescent="0.3">
      <c r="A67" s="116" t="s">
        <v>145</v>
      </c>
      <c r="B67" s="116"/>
      <c r="C67" s="126"/>
      <c r="D67" s="129" t="s">
        <v>57</v>
      </c>
      <c r="E67" s="129">
        <f>446000/1000</f>
        <v>446</v>
      </c>
      <c r="F67" s="129">
        <f>-2388000/1000</f>
        <v>-2388</v>
      </c>
      <c r="G67" s="129">
        <f>1824000/1000</f>
        <v>1824</v>
      </c>
      <c r="H67" s="129">
        <v>-5350</v>
      </c>
      <c r="I67" s="116">
        <f>I92</f>
        <v>4647.5137877337111</v>
      </c>
      <c r="J67" s="116">
        <f t="shared" ref="J67:M67" si="51">J92</f>
        <v>5968.2902092144723</v>
      </c>
      <c r="K67" s="116">
        <f t="shared" si="51"/>
        <v>6714.0111169553056</v>
      </c>
      <c r="L67" s="116">
        <f t="shared" si="51"/>
        <v>7552.9077337766939</v>
      </c>
      <c r="M67" s="116">
        <f t="shared" si="51"/>
        <v>8496.6220998474164</v>
      </c>
      <c r="N67" s="116"/>
      <c r="O67" s="116"/>
      <c r="P67" s="116"/>
      <c r="Q67" s="116"/>
      <c r="R67" s="116"/>
      <c r="S67" s="116"/>
      <c r="T67" s="116"/>
      <c r="U67" s="116"/>
      <c r="V67" s="116"/>
      <c r="W67" s="116"/>
      <c r="X67" s="116"/>
      <c r="Y67" s="116"/>
      <c r="Z67" s="116"/>
    </row>
    <row r="68" spans="1:26" ht="15.6" outlineLevel="1" x14ac:dyDescent="0.3">
      <c r="A68" s="132" t="s">
        <v>146</v>
      </c>
      <c r="B68" s="131"/>
      <c r="C68" s="155"/>
      <c r="D68" s="132" t="s">
        <v>57</v>
      </c>
      <c r="E68" s="132">
        <f>((E65+E66)-E67)</f>
        <v>86752</v>
      </c>
      <c r="F68" s="132">
        <f t="shared" ref="F68:G68" si="52">((F65+F66)-F67)</f>
        <v>88880</v>
      </c>
      <c r="G68" s="132">
        <f t="shared" si="52"/>
        <v>108599</v>
      </c>
      <c r="H68" s="132">
        <f>((H65+H66)-H67)</f>
        <v>141335</v>
      </c>
      <c r="I68" s="132">
        <f t="shared" ref="I68:M68" si="53">((I65+I66)-I67)</f>
        <v>145396.82654568669</v>
      </c>
      <c r="J68" s="132">
        <f>((J65+J66)-J67)</f>
        <v>159610.51299473821</v>
      </c>
      <c r="K68" s="132">
        <f t="shared" si="53"/>
        <v>176075.00255438493</v>
      </c>
      <c r="L68" s="132">
        <f t="shared" si="53"/>
        <v>194370.17057131467</v>
      </c>
      <c r="M68" s="132">
        <f t="shared" si="53"/>
        <v>214757.82744229172</v>
      </c>
      <c r="N68" s="116"/>
      <c r="O68" s="116"/>
      <c r="P68" s="116"/>
      <c r="Q68" s="116"/>
      <c r="R68" s="116"/>
      <c r="S68" s="116"/>
      <c r="T68" s="116"/>
      <c r="U68" s="116"/>
      <c r="V68" s="116"/>
      <c r="W68" s="116"/>
      <c r="X68" s="116"/>
      <c r="Y68" s="116"/>
      <c r="Z68" s="116"/>
    </row>
    <row r="69" spans="1:26" ht="15.6" outlineLevel="1" x14ac:dyDescent="0.3">
      <c r="A69" s="130"/>
      <c r="B69" s="116"/>
      <c r="C69" s="126"/>
      <c r="D69" s="144"/>
      <c r="E69" s="144"/>
      <c r="F69" s="144"/>
      <c r="G69" s="129"/>
      <c r="H69" s="144"/>
      <c r="I69" s="130"/>
      <c r="J69" s="130"/>
      <c r="K69" s="130"/>
      <c r="L69" s="130"/>
      <c r="M69" s="130"/>
      <c r="N69" s="116"/>
      <c r="O69" s="116"/>
      <c r="P69" s="116"/>
      <c r="Q69" s="116"/>
      <c r="R69" s="116"/>
      <c r="S69" s="116"/>
      <c r="T69" s="116"/>
      <c r="U69" s="116"/>
      <c r="V69" s="116"/>
      <c r="W69" s="116"/>
      <c r="X69" s="116"/>
      <c r="Y69" s="116"/>
      <c r="Z69" s="116"/>
    </row>
    <row r="70" spans="1:26" ht="15.6" outlineLevel="1" x14ac:dyDescent="0.3">
      <c r="A70" s="130" t="s">
        <v>147</v>
      </c>
      <c r="B70" s="116"/>
      <c r="C70" s="126"/>
      <c r="D70" s="129"/>
      <c r="E70" s="129"/>
      <c r="F70" s="129"/>
      <c r="G70" s="129"/>
      <c r="H70" s="129"/>
      <c r="I70" s="116"/>
      <c r="J70" s="116"/>
      <c r="K70" s="116"/>
      <c r="L70" s="116"/>
      <c r="M70" s="116"/>
      <c r="N70" s="116"/>
      <c r="O70" s="116"/>
      <c r="P70" s="116"/>
      <c r="Q70" s="116"/>
      <c r="R70" s="116"/>
      <c r="S70" s="116"/>
      <c r="T70" s="116"/>
      <c r="U70" s="116"/>
      <c r="V70" s="116"/>
      <c r="W70" s="116"/>
      <c r="X70" s="116"/>
      <c r="Y70" s="116"/>
      <c r="Z70" s="116"/>
    </row>
    <row r="71" spans="1:26" ht="15.6" outlineLevel="1" x14ac:dyDescent="0.3">
      <c r="A71" s="116" t="s">
        <v>148</v>
      </c>
      <c r="B71" s="116"/>
      <c r="C71" s="126"/>
      <c r="D71" s="129" t="s">
        <v>57</v>
      </c>
      <c r="E71" s="129">
        <v>-23886</v>
      </c>
      <c r="F71" s="129">
        <v>-28107</v>
      </c>
      <c r="G71" s="129">
        <f>-44477</f>
        <v>-44477</v>
      </c>
      <c r="H71" s="129">
        <v>-64551</v>
      </c>
      <c r="I71" s="116">
        <f>I18</f>
        <v>-40255.25</v>
      </c>
      <c r="J71" s="116">
        <f t="shared" ref="J71:M71" si="54">J18</f>
        <v>-40255.25</v>
      </c>
      <c r="K71" s="116">
        <f>K18</f>
        <v>-40255.25</v>
      </c>
      <c r="L71" s="116">
        <f t="shared" si="54"/>
        <v>-40255.25</v>
      </c>
      <c r="M71" s="116">
        <f t="shared" si="54"/>
        <v>-40255.25</v>
      </c>
      <c r="N71" s="116"/>
      <c r="O71" s="116"/>
      <c r="P71" s="116"/>
      <c r="Q71" s="116"/>
      <c r="R71" s="116"/>
      <c r="S71" s="116"/>
      <c r="T71" s="116"/>
      <c r="U71" s="116"/>
      <c r="V71" s="116"/>
      <c r="W71" s="116"/>
      <c r="X71" s="116"/>
      <c r="Y71" s="116"/>
      <c r="Z71" s="116"/>
    </row>
    <row r="72" spans="1:26" ht="15.6" outlineLevel="1" x14ac:dyDescent="0.3">
      <c r="A72" s="132" t="s">
        <v>149</v>
      </c>
      <c r="B72" s="131"/>
      <c r="C72" s="155"/>
      <c r="D72" s="132" t="s">
        <v>57</v>
      </c>
      <c r="E72" s="132">
        <f>E71</f>
        <v>-23886</v>
      </c>
      <c r="F72" s="132">
        <f t="shared" ref="F72:H72" si="55">F71</f>
        <v>-28107</v>
      </c>
      <c r="G72" s="132">
        <f t="shared" si="55"/>
        <v>-44477</v>
      </c>
      <c r="H72" s="132">
        <f t="shared" si="55"/>
        <v>-64551</v>
      </c>
      <c r="I72" s="132">
        <f>I71</f>
        <v>-40255.25</v>
      </c>
      <c r="J72" s="132">
        <f t="shared" ref="J72:M72" si="56">J71</f>
        <v>-40255.25</v>
      </c>
      <c r="K72" s="132">
        <f>K71</f>
        <v>-40255.25</v>
      </c>
      <c r="L72" s="132">
        <f t="shared" si="56"/>
        <v>-40255.25</v>
      </c>
      <c r="M72" s="132">
        <f t="shared" si="56"/>
        <v>-40255.25</v>
      </c>
      <c r="N72" s="116"/>
      <c r="O72" s="116"/>
      <c r="P72" s="116"/>
      <c r="Q72" s="116"/>
      <c r="R72" s="116"/>
      <c r="S72" s="116"/>
      <c r="T72" s="116"/>
      <c r="U72" s="116"/>
      <c r="V72" s="116"/>
      <c r="W72" s="116"/>
      <c r="X72" s="116"/>
      <c r="Y72" s="116"/>
      <c r="Z72" s="116"/>
    </row>
    <row r="73" spans="1:26" ht="15.6" outlineLevel="1" x14ac:dyDescent="0.3">
      <c r="A73" s="130"/>
      <c r="B73" s="116"/>
      <c r="C73" s="126"/>
      <c r="D73" s="144"/>
      <c r="E73" s="144"/>
      <c r="F73" s="144"/>
      <c r="G73" s="144"/>
      <c r="H73" s="144"/>
      <c r="I73" s="130"/>
      <c r="J73" s="130"/>
      <c r="K73" s="130"/>
      <c r="L73" s="130"/>
      <c r="M73" s="130"/>
      <c r="N73" s="116"/>
      <c r="O73" s="116"/>
      <c r="P73" s="116"/>
      <c r="Q73" s="116"/>
      <c r="R73" s="116"/>
      <c r="S73" s="116"/>
      <c r="T73" s="116"/>
      <c r="U73" s="116"/>
      <c r="V73" s="116"/>
      <c r="W73" s="116"/>
      <c r="X73" s="116"/>
      <c r="Y73" s="116"/>
      <c r="Z73" s="116"/>
    </row>
    <row r="74" spans="1:26" ht="15.6" outlineLevel="1" x14ac:dyDescent="0.3">
      <c r="A74" s="130" t="s">
        <v>150</v>
      </c>
      <c r="B74" s="116"/>
      <c r="C74" s="126"/>
      <c r="D74" s="129"/>
      <c r="E74" s="129"/>
      <c r="F74" s="129"/>
      <c r="G74" s="129"/>
      <c r="H74" s="129"/>
      <c r="I74" s="116"/>
      <c r="J74" s="116"/>
      <c r="K74" s="116"/>
      <c r="L74" s="116"/>
      <c r="M74" s="116"/>
      <c r="N74" s="116"/>
      <c r="O74" s="116"/>
      <c r="P74" s="116"/>
      <c r="Q74" s="116"/>
      <c r="R74" s="116"/>
      <c r="S74" s="116"/>
      <c r="T74" s="116"/>
      <c r="U74" s="116"/>
      <c r="V74" s="116"/>
      <c r="W74" s="116"/>
      <c r="X74" s="116"/>
      <c r="Y74" s="116"/>
      <c r="Z74" s="116"/>
    </row>
    <row r="75" spans="1:26" ht="15.6" outlineLevel="1" x14ac:dyDescent="0.3">
      <c r="A75" s="116" t="s">
        <v>151</v>
      </c>
      <c r="B75" s="116"/>
      <c r="C75" s="126"/>
      <c r="D75" s="129" t="s">
        <v>57</v>
      </c>
      <c r="E75" s="129">
        <f>0+-9023</f>
        <v>-9023</v>
      </c>
      <c r="F75" s="129">
        <f>(0+-2750)</f>
        <v>-2750</v>
      </c>
      <c r="G75" s="129">
        <f>24395+(-29070)</f>
        <v>-4675</v>
      </c>
      <c r="H75" s="129">
        <f>(0+-3216)</f>
        <v>-3216</v>
      </c>
      <c r="I75" s="116">
        <f>I102</f>
        <v>-4916</v>
      </c>
      <c r="J75" s="116">
        <f t="shared" ref="J75:M75" si="57">J102</f>
        <v>-4916</v>
      </c>
      <c r="K75" s="116">
        <f t="shared" si="57"/>
        <v>-4916</v>
      </c>
      <c r="L75" s="116">
        <f t="shared" si="57"/>
        <v>-4916</v>
      </c>
      <c r="M75" s="116">
        <f t="shared" si="57"/>
        <v>-4916</v>
      </c>
      <c r="N75" s="116"/>
      <c r="O75" s="116"/>
      <c r="P75" s="116"/>
      <c r="Q75" s="116"/>
      <c r="R75" s="116"/>
      <c r="S75" s="116"/>
      <c r="T75" s="116"/>
      <c r="U75" s="116"/>
      <c r="V75" s="116"/>
      <c r="W75" s="116"/>
      <c r="X75" s="116"/>
      <c r="Y75" s="116"/>
      <c r="Z75" s="116"/>
    </row>
    <row r="76" spans="1:26" ht="15.6" outlineLevel="1" x14ac:dyDescent="0.3">
      <c r="A76" s="116" t="s">
        <v>152</v>
      </c>
      <c r="B76" s="116"/>
      <c r="C76" s="126"/>
      <c r="D76" s="129" t="s">
        <v>57</v>
      </c>
      <c r="E76" s="129">
        <f>1841-32696</f>
        <v>-30855</v>
      </c>
      <c r="F76" s="129">
        <f>1866-22245</f>
        <v>-20379</v>
      </c>
      <c r="G76" s="129">
        <f>2002-17254</f>
        <v>-15252</v>
      </c>
      <c r="H76" s="129">
        <f>2056-18420</f>
        <v>-16364</v>
      </c>
      <c r="I76" s="116">
        <f>I20</f>
        <v>-20712.5</v>
      </c>
      <c r="J76" s="116">
        <f t="shared" ref="J76:M76" si="58">J20</f>
        <v>-20712.5</v>
      </c>
      <c r="K76" s="116">
        <f t="shared" si="58"/>
        <v>-20712.5</v>
      </c>
      <c r="L76" s="116">
        <f t="shared" si="58"/>
        <v>-20712.5</v>
      </c>
      <c r="M76" s="116">
        <f t="shared" si="58"/>
        <v>-20712.5</v>
      </c>
      <c r="N76" s="116"/>
      <c r="O76" s="116"/>
      <c r="P76" s="116"/>
      <c r="Q76" s="116"/>
      <c r="R76" s="116"/>
      <c r="S76" s="116"/>
      <c r="T76" s="116"/>
      <c r="U76" s="116"/>
      <c r="V76" s="116"/>
      <c r="W76" s="116"/>
      <c r="X76" s="116"/>
      <c r="Y76" s="116"/>
      <c r="Z76" s="116"/>
    </row>
    <row r="77" spans="1:26" ht="15.6" outlineLevel="1" x14ac:dyDescent="0.3">
      <c r="A77" s="132" t="s">
        <v>153</v>
      </c>
      <c r="B77" s="131"/>
      <c r="C77" s="155"/>
      <c r="D77" s="132" t="s">
        <v>57</v>
      </c>
      <c r="E77" s="132">
        <f>SUM(E75:E76)</f>
        <v>-39878</v>
      </c>
      <c r="F77" s="132">
        <f t="shared" ref="F77:G77" si="59">SUM(F75:F76)</f>
        <v>-23129</v>
      </c>
      <c r="G77" s="132">
        <f t="shared" si="59"/>
        <v>-19927</v>
      </c>
      <c r="H77" s="132">
        <f>SUM(H75:H76)</f>
        <v>-19580</v>
      </c>
      <c r="I77" s="132">
        <f>SUM(I75:I76)</f>
        <v>-25628.5</v>
      </c>
      <c r="J77" s="132">
        <f t="shared" ref="J77:L77" si="60">SUM(J75:J76)</f>
        <v>-25628.5</v>
      </c>
      <c r="K77" s="132">
        <f t="shared" si="60"/>
        <v>-25628.5</v>
      </c>
      <c r="L77" s="132">
        <f t="shared" si="60"/>
        <v>-25628.5</v>
      </c>
      <c r="M77" s="132">
        <f>SUM(M75:M76)</f>
        <v>-25628.5</v>
      </c>
      <c r="N77" s="116"/>
      <c r="O77" s="116"/>
      <c r="P77" s="116"/>
      <c r="Q77" s="116"/>
      <c r="R77" s="116"/>
      <c r="S77" s="116"/>
      <c r="T77" s="116"/>
      <c r="U77" s="116"/>
      <c r="V77" s="116"/>
      <c r="W77" s="116"/>
      <c r="X77" s="116"/>
      <c r="Y77" s="116"/>
      <c r="Z77" s="116"/>
    </row>
    <row r="78" spans="1:26" ht="15.6" outlineLevel="1" x14ac:dyDescent="0.3">
      <c r="A78" s="130"/>
      <c r="B78" s="116"/>
      <c r="C78" s="126"/>
      <c r="D78" s="144"/>
      <c r="E78" s="144"/>
      <c r="F78" s="144"/>
      <c r="G78" s="144"/>
      <c r="H78" s="144"/>
      <c r="I78" s="130"/>
      <c r="J78" s="130"/>
      <c r="K78" s="130"/>
      <c r="L78" s="130"/>
      <c r="M78" s="130"/>
      <c r="N78" s="116"/>
      <c r="O78" s="116"/>
      <c r="P78" s="116"/>
      <c r="Q78" s="116"/>
      <c r="R78" s="116"/>
      <c r="S78" s="116"/>
      <c r="T78" s="116"/>
      <c r="U78" s="116"/>
      <c r="V78" s="116"/>
      <c r="W78" s="116"/>
      <c r="X78" s="116"/>
      <c r="Y78" s="116"/>
      <c r="Z78" s="116"/>
    </row>
    <row r="79" spans="1:26" ht="15.6" outlineLevel="1" x14ac:dyDescent="0.3">
      <c r="A79" s="116" t="s">
        <v>154</v>
      </c>
      <c r="B79" s="116"/>
      <c r="C79" s="126"/>
      <c r="D79" s="116" t="s">
        <v>57</v>
      </c>
      <c r="E79" s="116">
        <f>E77+E72+E68</f>
        <v>22988</v>
      </c>
      <c r="F79" s="116">
        <f t="shared" ref="F79:M79" si="61">F77+F72+F68</f>
        <v>37644</v>
      </c>
      <c r="G79" s="116">
        <f t="shared" si="61"/>
        <v>44195</v>
      </c>
      <c r="H79" s="116">
        <f t="shared" si="61"/>
        <v>57204</v>
      </c>
      <c r="I79" s="116">
        <f>I77+I72+I68</f>
        <v>79513.076545686694</v>
      </c>
      <c r="J79" s="116">
        <f t="shared" si="61"/>
        <v>93726.762994738208</v>
      </c>
      <c r="K79" s="116">
        <f t="shared" si="61"/>
        <v>110191.25255438493</v>
      </c>
      <c r="L79" s="116">
        <f t="shared" si="61"/>
        <v>128486.42057131467</v>
      </c>
      <c r="M79" s="116">
        <f t="shared" si="61"/>
        <v>148874.07744229172</v>
      </c>
      <c r="N79" s="116"/>
      <c r="O79" s="116"/>
      <c r="P79" s="116"/>
      <c r="Q79" s="116"/>
      <c r="R79" s="116"/>
      <c r="S79" s="116"/>
      <c r="T79" s="116"/>
      <c r="U79" s="116"/>
      <c r="V79" s="116"/>
      <c r="W79" s="116"/>
      <c r="X79" s="116"/>
      <c r="Y79" s="116"/>
      <c r="Z79" s="116"/>
    </row>
    <row r="80" spans="1:26" ht="15.6" outlineLevel="1" x14ac:dyDescent="0.3">
      <c r="A80" s="116" t="s">
        <v>155</v>
      </c>
      <c r="B80" s="116"/>
      <c r="C80" s="126"/>
      <c r="D80" s="129" t="s">
        <v>57</v>
      </c>
      <c r="E80" s="129">
        <v>14224</v>
      </c>
      <c r="F80" s="129">
        <f t="shared" ref="F80:L80" si="62">E81</f>
        <v>13931</v>
      </c>
      <c r="G80" s="129">
        <f t="shared" si="62"/>
        <v>34704</v>
      </c>
      <c r="H80" s="129">
        <f t="shared" si="62"/>
        <v>18315</v>
      </c>
      <c r="I80" s="129">
        <f t="shared" si="62"/>
        <v>30242</v>
      </c>
      <c r="J80" s="129">
        <f t="shared" si="62"/>
        <v>109755.07654568669</v>
      </c>
      <c r="K80" s="129">
        <f t="shared" si="62"/>
        <v>203481.8395404249</v>
      </c>
      <c r="L80" s="129">
        <f t="shared" si="62"/>
        <v>313673.09209480986</v>
      </c>
      <c r="M80" s="129">
        <f>L81</f>
        <v>442159.5126661245</v>
      </c>
      <c r="N80" s="116"/>
      <c r="O80" s="116"/>
      <c r="P80" s="116"/>
      <c r="Q80" s="116"/>
      <c r="R80" s="116"/>
      <c r="S80" s="116"/>
      <c r="T80" s="116"/>
      <c r="U80" s="116"/>
      <c r="V80" s="116"/>
      <c r="W80" s="116"/>
      <c r="X80" s="116"/>
      <c r="Y80" s="116"/>
      <c r="Z80" s="116"/>
    </row>
    <row r="81" spans="1:26" ht="15.6" outlineLevel="1" x14ac:dyDescent="0.3">
      <c r="A81" s="132" t="s">
        <v>156</v>
      </c>
      <c r="B81" s="131"/>
      <c r="C81" s="155"/>
      <c r="D81" s="129" t="s">
        <v>57</v>
      </c>
      <c r="E81" s="129">
        <f>E43</f>
        <v>13931</v>
      </c>
      <c r="F81" s="129">
        <f t="shared" ref="F81:H81" si="63">F43</f>
        <v>34704</v>
      </c>
      <c r="G81" s="129">
        <f t="shared" si="63"/>
        <v>18315</v>
      </c>
      <c r="H81" s="129">
        <f t="shared" si="63"/>
        <v>30242</v>
      </c>
      <c r="I81" s="129">
        <f>SUM(I79:I80)</f>
        <v>109755.07654568669</v>
      </c>
      <c r="J81" s="129">
        <f>SUM(J79:J80)</f>
        <v>203481.8395404249</v>
      </c>
      <c r="K81" s="129">
        <f t="shared" ref="K81:L81" si="64">SUM(K79:K80)</f>
        <v>313673.09209480986</v>
      </c>
      <c r="L81" s="129">
        <f t="shared" si="64"/>
        <v>442159.5126661245</v>
      </c>
      <c r="M81" s="129">
        <f>SUM(M79:M80)</f>
        <v>591033.59010841628</v>
      </c>
      <c r="N81" s="116"/>
      <c r="O81" s="116"/>
      <c r="P81" s="116"/>
      <c r="Q81" s="116"/>
      <c r="R81" s="116"/>
      <c r="S81" s="116"/>
      <c r="T81" s="116"/>
      <c r="U81" s="116"/>
      <c r="V81" s="116"/>
      <c r="W81" s="116"/>
      <c r="X81" s="116"/>
      <c r="Y81" s="116"/>
      <c r="Z81" s="116"/>
    </row>
    <row r="82" spans="1:26" ht="15.6" outlineLevel="1" x14ac:dyDescent="0.3">
      <c r="A82" s="130"/>
      <c r="B82" s="116"/>
      <c r="C82" s="126"/>
      <c r="D82" s="144"/>
      <c r="E82" s="144"/>
      <c r="F82" s="144"/>
      <c r="G82" s="144"/>
      <c r="H82" s="144"/>
      <c r="I82" s="116"/>
      <c r="J82" s="116"/>
      <c r="K82" s="116"/>
      <c r="L82" s="116"/>
      <c r="M82" s="116"/>
      <c r="N82" s="116"/>
      <c r="O82" s="116"/>
      <c r="P82" s="116"/>
      <c r="Q82" s="116"/>
      <c r="R82" s="116"/>
      <c r="S82" s="116"/>
      <c r="T82" s="116"/>
      <c r="U82" s="116"/>
      <c r="V82" s="116"/>
      <c r="W82" s="116"/>
      <c r="X82" s="116"/>
      <c r="Y82" s="116"/>
      <c r="Z82" s="116"/>
    </row>
    <row r="83" spans="1:26" ht="15.6" outlineLevel="1" x14ac:dyDescent="0.3">
      <c r="A83" s="130"/>
      <c r="B83" s="116"/>
      <c r="C83" s="126"/>
      <c r="D83" s="144"/>
      <c r="E83" s="129"/>
      <c r="F83" s="129"/>
      <c r="G83" s="129"/>
      <c r="H83" s="129"/>
      <c r="I83" s="116"/>
      <c r="J83" s="116"/>
      <c r="K83" s="116"/>
      <c r="L83" s="116"/>
      <c r="M83" s="116"/>
      <c r="N83" s="116"/>
      <c r="O83" s="116"/>
      <c r="P83" s="116"/>
      <c r="Q83" s="116"/>
      <c r="R83" s="116"/>
      <c r="S83" s="116"/>
      <c r="T83" s="116"/>
      <c r="U83" s="116"/>
      <c r="V83" s="116"/>
      <c r="W83" s="116"/>
      <c r="X83" s="116"/>
      <c r="Y83" s="116"/>
      <c r="Z83" s="116"/>
    </row>
    <row r="84" spans="1:26" ht="15.6" x14ac:dyDescent="0.3">
      <c r="A84" s="116"/>
      <c r="B84" s="116"/>
      <c r="C84" s="126"/>
      <c r="D84" s="129"/>
      <c r="E84" s="129"/>
      <c r="F84" s="129"/>
      <c r="G84" s="129"/>
      <c r="H84" s="129"/>
      <c r="I84" s="116"/>
      <c r="J84" s="116"/>
      <c r="K84" s="116"/>
      <c r="L84" s="116"/>
      <c r="M84" s="116"/>
      <c r="N84" s="116"/>
      <c r="O84" s="116"/>
      <c r="P84" s="116"/>
      <c r="Q84" s="116"/>
      <c r="R84" s="116"/>
      <c r="S84" s="116"/>
      <c r="T84" s="116"/>
      <c r="U84" s="116"/>
      <c r="V84" s="116"/>
      <c r="W84" s="116"/>
      <c r="X84" s="116"/>
      <c r="Y84" s="116"/>
      <c r="Z84" s="116"/>
    </row>
    <row r="85" spans="1:26" ht="18" x14ac:dyDescent="0.3">
      <c r="A85" s="142" t="s">
        <v>157</v>
      </c>
      <c r="B85" s="142"/>
      <c r="C85" s="142"/>
      <c r="D85" s="142"/>
      <c r="E85" s="142"/>
      <c r="F85" s="142"/>
      <c r="G85" s="142"/>
      <c r="H85" s="142"/>
      <c r="I85" s="142"/>
      <c r="J85" s="142"/>
      <c r="K85" s="142"/>
      <c r="L85" s="142"/>
      <c r="M85" s="142"/>
      <c r="N85" s="116"/>
      <c r="O85" s="116"/>
      <c r="P85" s="116"/>
      <c r="Q85" s="116"/>
      <c r="R85" s="116"/>
      <c r="S85" s="116"/>
      <c r="T85" s="116"/>
      <c r="U85" s="116"/>
      <c r="V85" s="116"/>
      <c r="W85" s="116"/>
      <c r="X85" s="116"/>
      <c r="Y85" s="116"/>
      <c r="Z85" s="116"/>
    </row>
    <row r="86" spans="1:26" ht="15.6" outlineLevel="1" x14ac:dyDescent="0.3">
      <c r="A86" s="116"/>
      <c r="B86" s="116"/>
      <c r="C86" s="126"/>
      <c r="D86" s="129"/>
      <c r="E86" s="129"/>
      <c r="F86" s="129"/>
      <c r="G86" s="129"/>
      <c r="H86" s="129"/>
      <c r="I86" s="116"/>
      <c r="J86" s="116"/>
      <c r="K86" s="116"/>
      <c r="L86" s="116"/>
      <c r="M86" s="116"/>
      <c r="N86" s="116"/>
      <c r="O86" s="116"/>
      <c r="P86" s="116"/>
      <c r="Q86" s="116"/>
      <c r="R86" s="116"/>
      <c r="S86" s="116"/>
      <c r="T86" s="116"/>
      <c r="U86" s="116"/>
      <c r="V86" s="116"/>
      <c r="W86" s="116"/>
      <c r="X86" s="116"/>
      <c r="Y86" s="116"/>
      <c r="Z86" s="116"/>
    </row>
    <row r="87" spans="1:26" ht="15.6" outlineLevel="1" x14ac:dyDescent="0.3">
      <c r="A87" s="130" t="s">
        <v>158</v>
      </c>
      <c r="B87" s="116"/>
      <c r="C87" s="126"/>
      <c r="D87" s="129"/>
      <c r="E87" s="129"/>
      <c r="F87" s="129"/>
      <c r="G87" s="129"/>
      <c r="H87" s="129"/>
      <c r="I87" s="116"/>
      <c r="J87" s="116"/>
      <c r="K87" s="116"/>
      <c r="L87" s="116"/>
      <c r="M87" s="116"/>
      <c r="N87" s="116"/>
      <c r="O87" s="116"/>
      <c r="P87" s="116"/>
      <c r="Q87" s="116"/>
      <c r="R87" s="116"/>
      <c r="S87" s="116"/>
      <c r="T87" s="116"/>
      <c r="U87" s="116"/>
      <c r="V87" s="116"/>
      <c r="W87" s="116"/>
      <c r="X87" s="116"/>
      <c r="Y87" s="116"/>
      <c r="Z87" s="116"/>
    </row>
    <row r="88" spans="1:26" ht="15.6" outlineLevel="1" x14ac:dyDescent="0.3">
      <c r="A88" s="116" t="s">
        <v>132</v>
      </c>
      <c r="B88" s="116"/>
      <c r="C88" s="126"/>
      <c r="D88" s="116" t="s">
        <v>57</v>
      </c>
      <c r="E88" s="116">
        <f>E44</f>
        <v>44261</v>
      </c>
      <c r="F88" s="116">
        <f t="shared" ref="F88:H89" si="65">F44</f>
        <v>48688</v>
      </c>
      <c r="G88" s="116">
        <f>G44</f>
        <v>56924</v>
      </c>
      <c r="H88" s="116">
        <f t="shared" si="65"/>
        <v>69905</v>
      </c>
      <c r="I88" s="116">
        <f>((I26/365)*I15)</f>
        <v>73950.288326663052</v>
      </c>
      <c r="J88" s="116">
        <f t="shared" ref="J88:M89" si="66">((J26/365)*J15)</f>
        <v>83190.166785240217</v>
      </c>
      <c r="K88" s="116">
        <f t="shared" si="66"/>
        <v>93584.541809836766</v>
      </c>
      <c r="L88" s="116">
        <f t="shared" si="66"/>
        <v>105277.66446684132</v>
      </c>
      <c r="M88" s="116">
        <f t="shared" si="66"/>
        <v>118431.80958361905</v>
      </c>
      <c r="N88" s="116"/>
      <c r="O88" s="116"/>
      <c r="P88" s="116"/>
      <c r="Q88" s="116"/>
      <c r="R88" s="116"/>
      <c r="S88" s="116"/>
      <c r="T88" s="116"/>
      <c r="U88" s="116"/>
      <c r="V88" s="116"/>
      <c r="W88" s="116"/>
      <c r="X88" s="116"/>
      <c r="Y88" s="116"/>
      <c r="Z88" s="116"/>
    </row>
    <row r="89" spans="1:26" ht="15.6" outlineLevel="1" x14ac:dyDescent="0.3">
      <c r="A89" s="116" t="s">
        <v>133</v>
      </c>
      <c r="B89" s="116"/>
      <c r="C89" s="126"/>
      <c r="D89" s="116" t="s">
        <v>57</v>
      </c>
      <c r="E89" s="116">
        <f>E45</f>
        <v>3742</v>
      </c>
      <c r="F89" s="116">
        <f t="shared" si="65"/>
        <v>2500</v>
      </c>
      <c r="G89" s="116">
        <f t="shared" si="65"/>
        <v>1246</v>
      </c>
      <c r="H89" s="116">
        <f t="shared" si="65"/>
        <v>938</v>
      </c>
      <c r="I89" s="116">
        <f>((I27/365)*I16)</f>
        <v>3076.8063598296608</v>
      </c>
      <c r="J89" s="116">
        <f t="shared" si="66"/>
        <v>3461.2445743207459</v>
      </c>
      <c r="K89" s="116">
        <f t="shared" si="66"/>
        <v>3893.7172516531236</v>
      </c>
      <c r="L89" s="116">
        <f t="shared" si="66"/>
        <v>4380.2261615090993</v>
      </c>
      <c r="M89" s="116">
        <f t="shared" si="66"/>
        <v>4927.5229776437754</v>
      </c>
      <c r="N89" s="116"/>
      <c r="O89" s="116"/>
      <c r="P89" s="116"/>
      <c r="Q89" s="116"/>
      <c r="R89" s="116"/>
      <c r="S89" s="116"/>
      <c r="T89" s="116"/>
      <c r="U89" s="116"/>
      <c r="V89" s="116"/>
      <c r="W89" s="116"/>
      <c r="X89" s="116"/>
      <c r="Y89" s="116"/>
      <c r="Z89" s="116"/>
    </row>
    <row r="90" spans="1:26" ht="15.6" outlineLevel="1" x14ac:dyDescent="0.3">
      <c r="A90" s="116" t="s">
        <v>135</v>
      </c>
      <c r="B90" s="116"/>
      <c r="C90" s="126"/>
      <c r="D90" s="116" t="s">
        <v>57</v>
      </c>
      <c r="E90" s="116">
        <f>E50</f>
        <v>19000</v>
      </c>
      <c r="F90" s="116">
        <f t="shared" ref="F90:G90" si="67">F50</f>
        <v>18095</v>
      </c>
      <c r="G90" s="116">
        <f t="shared" si="67"/>
        <v>21996</v>
      </c>
      <c r="H90" s="116">
        <f>H50</f>
        <v>27724</v>
      </c>
      <c r="I90" s="116">
        <f>((I27/365)*I17)</f>
        <v>29260.580898758999</v>
      </c>
      <c r="J90" s="116">
        <f>((J27/365)*J17)</f>
        <v>32916.607362612784</v>
      </c>
      <c r="K90" s="116">
        <f t="shared" ref="K90:M90" si="68">((K27/365)*K17)</f>
        <v>37029.443947586406</v>
      </c>
      <c r="L90" s="116">
        <f>((L27/365)*L17)</f>
        <v>41656.167780670243</v>
      </c>
      <c r="M90" s="116">
        <f t="shared" si="68"/>
        <v>46860.987613735233</v>
      </c>
      <c r="N90" s="116"/>
      <c r="O90" s="116"/>
      <c r="P90" s="116"/>
      <c r="Q90" s="116"/>
      <c r="R90" s="116"/>
      <c r="S90" s="116"/>
      <c r="T90" s="116"/>
      <c r="U90" s="116"/>
      <c r="V90" s="116"/>
      <c r="W90" s="116"/>
      <c r="X90" s="116"/>
      <c r="Y90" s="116"/>
      <c r="Z90" s="116"/>
    </row>
    <row r="91" spans="1:26" ht="15.6" outlineLevel="1" x14ac:dyDescent="0.3">
      <c r="A91" s="131" t="s">
        <v>159</v>
      </c>
      <c r="B91" s="131"/>
      <c r="C91" s="155"/>
      <c r="D91" s="131" t="s">
        <v>57</v>
      </c>
      <c r="E91" s="131">
        <f>((E88+E89)-E90)</f>
        <v>29003</v>
      </c>
      <c r="F91" s="131">
        <f t="shared" ref="F91" si="69">((F88+F89)-F90)</f>
        <v>33093</v>
      </c>
      <c r="G91" s="131">
        <f>((G88+G89)-G90)</f>
        <v>36174</v>
      </c>
      <c r="H91" s="131">
        <f>((H88+H89)-H90)</f>
        <v>43119</v>
      </c>
      <c r="I91" s="131">
        <f>((I88+I89)-I90)</f>
        <v>47766.513787733711</v>
      </c>
      <c r="J91" s="131">
        <f t="shared" ref="J91:M91" si="70">((J88+J89)-J90)</f>
        <v>53734.803996948183</v>
      </c>
      <c r="K91" s="131">
        <f t="shared" si="70"/>
        <v>60448.815113903489</v>
      </c>
      <c r="L91" s="131">
        <f t="shared" si="70"/>
        <v>68001.722847680183</v>
      </c>
      <c r="M91" s="131">
        <f t="shared" si="70"/>
        <v>76498.344947527599</v>
      </c>
      <c r="N91" s="116"/>
      <c r="O91" s="116"/>
      <c r="P91" s="116"/>
      <c r="Q91" s="116"/>
      <c r="R91" s="116"/>
      <c r="S91" s="116"/>
      <c r="T91" s="116"/>
      <c r="U91" s="116"/>
      <c r="V91" s="116"/>
      <c r="W91" s="116"/>
      <c r="X91" s="116"/>
      <c r="Y91" s="116"/>
      <c r="Z91" s="116"/>
    </row>
    <row r="92" spans="1:26" ht="15.6" outlineLevel="1" x14ac:dyDescent="0.3">
      <c r="A92" s="116" t="s">
        <v>160</v>
      </c>
      <c r="B92" s="116"/>
      <c r="C92" s="126"/>
      <c r="D92" s="116" t="s">
        <v>57</v>
      </c>
      <c r="E92" s="116">
        <v>0</v>
      </c>
      <c r="F92" s="116">
        <f>(F91-E91)</f>
        <v>4090</v>
      </c>
      <c r="G92" s="116">
        <f t="shared" ref="G92:M92" si="71">(G91-F91)</f>
        <v>3081</v>
      </c>
      <c r="H92" s="116">
        <f t="shared" si="71"/>
        <v>6945</v>
      </c>
      <c r="I92" s="116">
        <f t="shared" si="71"/>
        <v>4647.5137877337111</v>
      </c>
      <c r="J92" s="116">
        <f>(J91-I91)</f>
        <v>5968.2902092144723</v>
      </c>
      <c r="K92" s="116">
        <f t="shared" si="71"/>
        <v>6714.0111169553056</v>
      </c>
      <c r="L92" s="116">
        <f t="shared" si="71"/>
        <v>7552.9077337766939</v>
      </c>
      <c r="M92" s="116">
        <f t="shared" si="71"/>
        <v>8496.6220998474164</v>
      </c>
      <c r="N92" s="116"/>
      <c r="O92" s="116"/>
      <c r="P92" s="116"/>
      <c r="Q92" s="116"/>
      <c r="R92" s="116"/>
      <c r="S92" s="116"/>
      <c r="T92" s="116"/>
      <c r="U92" s="116"/>
      <c r="V92" s="116"/>
      <c r="W92" s="116"/>
      <c r="X92" s="116"/>
      <c r="Y92" s="116"/>
      <c r="Z92" s="116"/>
    </row>
    <row r="93" spans="1:26" ht="15.6" outlineLevel="1" x14ac:dyDescent="0.3">
      <c r="A93" s="116"/>
      <c r="B93" s="116"/>
      <c r="C93" s="126"/>
      <c r="D93" s="129"/>
      <c r="E93" s="129"/>
      <c r="F93" s="129"/>
      <c r="G93" s="129"/>
      <c r="H93" s="129"/>
      <c r="I93" s="129"/>
      <c r="J93" s="129"/>
      <c r="K93" s="129"/>
      <c r="L93" s="129"/>
      <c r="M93" s="129"/>
      <c r="N93" s="116"/>
      <c r="O93" s="116"/>
      <c r="P93" s="116"/>
      <c r="Q93" s="116"/>
      <c r="R93" s="116"/>
      <c r="S93" s="116"/>
      <c r="T93" s="116"/>
      <c r="U93" s="116"/>
      <c r="V93" s="116"/>
      <c r="W93" s="116"/>
      <c r="X93" s="116"/>
      <c r="Y93" s="116"/>
      <c r="Z93" s="116"/>
    </row>
    <row r="94" spans="1:26" ht="15.6" outlineLevel="1" x14ac:dyDescent="0.3">
      <c r="A94" s="130" t="s">
        <v>161</v>
      </c>
      <c r="B94" s="116"/>
      <c r="C94" s="126"/>
      <c r="D94" s="129"/>
      <c r="E94" s="129"/>
      <c r="F94" s="129"/>
      <c r="G94" s="129"/>
      <c r="H94" s="129"/>
      <c r="I94" s="129"/>
      <c r="J94" s="129"/>
      <c r="K94" s="129"/>
      <c r="L94" s="129"/>
      <c r="M94" s="129"/>
      <c r="N94" s="116"/>
      <c r="O94" s="116"/>
      <c r="P94" s="116"/>
      <c r="Q94" s="116"/>
      <c r="R94" s="116"/>
      <c r="S94" s="116"/>
      <c r="T94" s="116"/>
      <c r="U94" s="116"/>
      <c r="V94" s="116"/>
      <c r="W94" s="116"/>
      <c r="X94" s="116"/>
      <c r="Y94" s="116"/>
      <c r="Z94" s="116"/>
    </row>
    <row r="95" spans="1:26" ht="15.6" outlineLevel="1" x14ac:dyDescent="0.3">
      <c r="A95" s="116" t="s">
        <v>162</v>
      </c>
      <c r="B95" s="116"/>
      <c r="C95" s="126"/>
      <c r="D95" s="129" t="s">
        <v>57</v>
      </c>
      <c r="E95" s="129">
        <v>70803</v>
      </c>
      <c r="F95" s="129">
        <f>E98</f>
        <v>87546</v>
      </c>
      <c r="G95" s="129">
        <f>F98</f>
        <v>109987</v>
      </c>
      <c r="H95" s="129">
        <f t="shared" ref="H95" si="72">G98</f>
        <v>154552</v>
      </c>
      <c r="I95" s="116">
        <f>H98</f>
        <v>229789</v>
      </c>
      <c r="J95" s="116">
        <f>I98</f>
        <v>236493.57146400027</v>
      </c>
      <c r="K95" s="116">
        <f t="shared" ref="K95:M95" si="73">J98</f>
        <v>242219.23217983457</v>
      </c>
      <c r="L95" s="116">
        <f t="shared" si="73"/>
        <v>247108.90944092054</v>
      </c>
      <c r="M95" s="116">
        <f t="shared" si="73"/>
        <v>251284.66223246499</v>
      </c>
      <c r="N95" s="116"/>
      <c r="O95" s="116"/>
      <c r="P95" s="116"/>
      <c r="Q95" s="116"/>
      <c r="R95" s="116"/>
      <c r="S95" s="116"/>
      <c r="T95" s="116"/>
      <c r="U95" s="116"/>
      <c r="V95" s="116"/>
      <c r="W95" s="116"/>
      <c r="X95" s="116"/>
      <c r="Y95" s="116"/>
      <c r="Z95" s="116"/>
    </row>
    <row r="96" spans="1:26" ht="15.6" outlineLevel="1" x14ac:dyDescent="0.3">
      <c r="A96" s="116" t="s">
        <v>163</v>
      </c>
      <c r="B96" s="116"/>
      <c r="C96" s="126"/>
      <c r="D96" s="129" t="s">
        <v>57</v>
      </c>
      <c r="E96" s="129">
        <f>E71*-1</f>
        <v>23886</v>
      </c>
      <c r="F96" s="129">
        <f t="shared" ref="F96:M96" si="74">F71*-1</f>
        <v>28107</v>
      </c>
      <c r="G96" s="129">
        <f>G71*-1</f>
        <v>44477</v>
      </c>
      <c r="H96" s="129">
        <f t="shared" si="74"/>
        <v>64551</v>
      </c>
      <c r="I96" s="129">
        <f>I71*-1</f>
        <v>40255.25</v>
      </c>
      <c r="J96" s="129">
        <f>J71*-1</f>
        <v>40255.25</v>
      </c>
      <c r="K96" s="129">
        <f>K71*-1</f>
        <v>40255.25</v>
      </c>
      <c r="L96" s="129">
        <f t="shared" si="74"/>
        <v>40255.25</v>
      </c>
      <c r="M96" s="129">
        <f t="shared" si="74"/>
        <v>40255.25</v>
      </c>
      <c r="N96" s="116"/>
      <c r="O96" s="116"/>
      <c r="P96" s="116"/>
      <c r="Q96" s="116"/>
      <c r="R96" s="116"/>
      <c r="S96" s="116"/>
      <c r="T96" s="116"/>
      <c r="U96" s="116"/>
      <c r="V96" s="116"/>
      <c r="W96" s="116"/>
      <c r="X96" s="116"/>
      <c r="Y96" s="116"/>
      <c r="Z96" s="116"/>
    </row>
    <row r="97" spans="1:26" ht="15.6" outlineLevel="1" x14ac:dyDescent="0.3">
      <c r="A97" s="116" t="s">
        <v>164</v>
      </c>
      <c r="B97" s="116"/>
      <c r="D97" s="129" t="s">
        <v>57</v>
      </c>
      <c r="E97" s="129">
        <f>E66</f>
        <v>14460</v>
      </c>
      <c r="F97" s="129">
        <f t="shared" ref="F97:H97" si="75">F66</f>
        <v>13861</v>
      </c>
      <c r="G97" s="129">
        <f t="shared" si="75"/>
        <v>22287</v>
      </c>
      <c r="H97" s="129">
        <f t="shared" si="75"/>
        <v>34153</v>
      </c>
      <c r="I97" s="116">
        <f>I95*I12</f>
        <v>33550.678535999738</v>
      </c>
      <c r="J97" s="116">
        <f t="shared" ref="J97:M97" si="76">J95*J12</f>
        <v>34529.589284165711</v>
      </c>
      <c r="K97" s="116">
        <f t="shared" si="76"/>
        <v>35365.572738914016</v>
      </c>
      <c r="L97" s="116">
        <f t="shared" si="76"/>
        <v>36079.49720845557</v>
      </c>
      <c r="M97" s="116">
        <f t="shared" si="76"/>
        <v>36689.184093184216</v>
      </c>
      <c r="N97" s="116"/>
      <c r="O97" s="116"/>
      <c r="P97" s="116"/>
      <c r="Q97" s="116"/>
      <c r="R97" s="116"/>
      <c r="S97" s="116"/>
      <c r="T97" s="116"/>
      <c r="U97" s="116"/>
      <c r="V97" s="116"/>
      <c r="W97" s="116"/>
      <c r="X97" s="116"/>
      <c r="Y97" s="116"/>
      <c r="Z97" s="116"/>
    </row>
    <row r="98" spans="1:26" ht="15.6" outlineLevel="1" x14ac:dyDescent="0.3">
      <c r="A98" s="131" t="s">
        <v>165</v>
      </c>
      <c r="B98" s="131"/>
      <c r="C98" s="155"/>
      <c r="D98" s="129" t="s">
        <v>57</v>
      </c>
      <c r="E98" s="129">
        <f>E46</f>
        <v>87546</v>
      </c>
      <c r="F98" s="129">
        <f t="shared" ref="F98:H98" si="77">F46</f>
        <v>109987</v>
      </c>
      <c r="G98" s="129">
        <f t="shared" si="77"/>
        <v>154552</v>
      </c>
      <c r="H98" s="129">
        <f t="shared" si="77"/>
        <v>229789</v>
      </c>
      <c r="I98" s="129">
        <f>((I95+I96)-I97)</f>
        <v>236493.57146400027</v>
      </c>
      <c r="J98" s="129">
        <f t="shared" ref="J98:M98" si="78">((J95+J96)-J97)</f>
        <v>242219.23217983457</v>
      </c>
      <c r="K98" s="129">
        <f t="shared" si="78"/>
        <v>247108.90944092054</v>
      </c>
      <c r="L98" s="129">
        <f>((L95+L96)-L97)</f>
        <v>251284.66223246499</v>
      </c>
      <c r="M98" s="129">
        <f t="shared" si="78"/>
        <v>254850.72813928078</v>
      </c>
      <c r="N98" s="116"/>
      <c r="O98" s="116"/>
      <c r="P98" s="116"/>
      <c r="Q98" s="116"/>
      <c r="R98" s="116"/>
      <c r="S98" s="116"/>
      <c r="T98" s="116"/>
      <c r="U98" s="116"/>
      <c r="V98" s="116"/>
      <c r="W98" s="116"/>
      <c r="X98" s="116"/>
      <c r="Y98" s="116"/>
      <c r="Z98" s="116"/>
    </row>
    <row r="99" spans="1:26" ht="15.6" outlineLevel="1" x14ac:dyDescent="0.3">
      <c r="A99" s="116"/>
      <c r="B99" s="116"/>
      <c r="C99" s="126"/>
      <c r="D99" s="129"/>
      <c r="E99" s="129"/>
      <c r="F99" s="129"/>
      <c r="G99" s="129"/>
      <c r="H99" s="129"/>
      <c r="I99" s="129"/>
      <c r="J99" s="129"/>
      <c r="K99" s="129"/>
      <c r="L99" s="129"/>
      <c r="M99" s="129"/>
      <c r="N99" s="116"/>
      <c r="O99" s="116"/>
      <c r="P99" s="116"/>
      <c r="Q99" s="116"/>
      <c r="R99" s="116"/>
      <c r="S99" s="116"/>
      <c r="T99" s="116"/>
      <c r="U99" s="116"/>
      <c r="V99" s="116"/>
      <c r="W99" s="116"/>
      <c r="X99" s="116"/>
      <c r="Y99" s="116"/>
      <c r="Z99" s="116"/>
    </row>
    <row r="100" spans="1:26" ht="15.6" outlineLevel="1" x14ac:dyDescent="0.3">
      <c r="A100" s="130" t="s">
        <v>166</v>
      </c>
      <c r="B100" s="116"/>
      <c r="C100" s="126"/>
      <c r="D100" s="129" t="s">
        <v>57</v>
      </c>
      <c r="E100" s="129"/>
      <c r="F100" s="129"/>
      <c r="G100" s="129"/>
      <c r="H100" s="129"/>
      <c r="I100" s="129"/>
      <c r="J100" s="129"/>
      <c r="K100" s="129"/>
      <c r="L100" s="129"/>
      <c r="M100" s="129"/>
      <c r="N100" s="116"/>
      <c r="O100" s="116"/>
      <c r="P100" s="116"/>
      <c r="Q100" s="116"/>
      <c r="R100" s="116"/>
      <c r="S100" s="116"/>
      <c r="T100" s="116"/>
      <c r="U100" s="116"/>
      <c r="V100" s="116"/>
      <c r="W100" s="116"/>
      <c r="X100" s="116"/>
      <c r="Y100" s="116"/>
      <c r="Z100" s="116"/>
    </row>
    <row r="101" spans="1:26" ht="15.6" outlineLevel="1" x14ac:dyDescent="0.3">
      <c r="A101" s="116" t="s">
        <v>167</v>
      </c>
      <c r="B101" s="116"/>
      <c r="C101" s="126"/>
      <c r="D101" s="129" t="s">
        <v>57</v>
      </c>
      <c r="E101" s="129">
        <v>58146</v>
      </c>
      <c r="F101" s="129">
        <f>E103</f>
        <v>61270</v>
      </c>
      <c r="G101" s="129">
        <f t="shared" ref="G101:H101" si="79">F103</f>
        <v>59965</v>
      </c>
      <c r="H101" s="129">
        <f t="shared" si="79"/>
        <v>67127</v>
      </c>
      <c r="I101" s="116">
        <f>H103</f>
        <v>60588</v>
      </c>
      <c r="J101" s="116">
        <f>I103</f>
        <v>55672</v>
      </c>
      <c r="K101" s="116">
        <f t="shared" ref="K101:M101" si="80">J103</f>
        <v>50756</v>
      </c>
      <c r="L101" s="116">
        <f t="shared" si="80"/>
        <v>45840</v>
      </c>
      <c r="M101" s="116">
        <f t="shared" si="80"/>
        <v>40924</v>
      </c>
      <c r="N101" s="116"/>
      <c r="O101" s="116"/>
      <c r="P101" s="116"/>
      <c r="Q101" s="116"/>
      <c r="R101" s="116"/>
      <c r="S101" s="116"/>
      <c r="T101" s="116"/>
      <c r="U101" s="116"/>
      <c r="V101" s="116"/>
      <c r="W101" s="116"/>
      <c r="X101" s="116"/>
      <c r="Y101" s="116"/>
      <c r="Z101" s="116"/>
    </row>
    <row r="102" spans="1:26" ht="15.6" outlineLevel="1" x14ac:dyDescent="0.3">
      <c r="A102" s="116" t="s">
        <v>168</v>
      </c>
      <c r="B102" s="116"/>
      <c r="C102" s="126"/>
      <c r="D102" s="116" t="s">
        <v>57</v>
      </c>
      <c r="E102" s="116">
        <f>E75</f>
        <v>-9023</v>
      </c>
      <c r="F102" s="116">
        <f t="shared" ref="F102:G102" si="81">F75</f>
        <v>-2750</v>
      </c>
      <c r="G102" s="116">
        <f t="shared" si="81"/>
        <v>-4675</v>
      </c>
      <c r="H102" s="116">
        <f>H75</f>
        <v>-3216</v>
      </c>
      <c r="I102" s="116">
        <f>I19</f>
        <v>-4916</v>
      </c>
      <c r="J102" s="116">
        <f t="shared" ref="J102:M102" si="82">J19</f>
        <v>-4916</v>
      </c>
      <c r="K102" s="116">
        <f t="shared" si="82"/>
        <v>-4916</v>
      </c>
      <c r="L102" s="116">
        <f t="shared" si="82"/>
        <v>-4916</v>
      </c>
      <c r="M102" s="116">
        <f t="shared" si="82"/>
        <v>-4916</v>
      </c>
      <c r="N102" s="116"/>
      <c r="O102" s="116"/>
      <c r="P102" s="116"/>
      <c r="Q102" s="116"/>
      <c r="R102" s="116"/>
      <c r="S102" s="116"/>
      <c r="T102" s="116"/>
      <c r="U102" s="116"/>
      <c r="V102" s="116"/>
      <c r="W102" s="116"/>
      <c r="X102" s="116"/>
      <c r="Y102" s="116"/>
      <c r="Z102" s="116"/>
    </row>
    <row r="103" spans="1:26" ht="15.6" outlineLevel="1" x14ac:dyDescent="0.3">
      <c r="A103" s="131" t="s">
        <v>169</v>
      </c>
      <c r="B103" s="131"/>
      <c r="C103" s="155"/>
      <c r="D103" s="131" t="s">
        <v>57</v>
      </c>
      <c r="E103" s="131">
        <f>E51</f>
        <v>61270</v>
      </c>
      <c r="F103" s="131">
        <f t="shared" ref="F103:H103" si="83">F51</f>
        <v>59965</v>
      </c>
      <c r="G103" s="131">
        <f t="shared" si="83"/>
        <v>67127</v>
      </c>
      <c r="H103" s="131">
        <f t="shared" si="83"/>
        <v>60588</v>
      </c>
      <c r="I103" s="131">
        <f>SUM(I101:I102)</f>
        <v>55672</v>
      </c>
      <c r="J103" s="131">
        <f t="shared" ref="J103:M103" si="84">SUM(J101:J102)</f>
        <v>50756</v>
      </c>
      <c r="K103" s="131">
        <f t="shared" si="84"/>
        <v>45840</v>
      </c>
      <c r="L103" s="131">
        <f t="shared" si="84"/>
        <v>40924</v>
      </c>
      <c r="M103" s="131">
        <f t="shared" si="84"/>
        <v>36008</v>
      </c>
      <c r="N103" s="116"/>
      <c r="O103" s="116"/>
      <c r="P103" s="116"/>
      <c r="Q103" s="116"/>
      <c r="R103" s="116"/>
      <c r="S103" s="116"/>
      <c r="T103" s="116"/>
      <c r="U103" s="116"/>
      <c r="V103" s="116"/>
      <c r="W103" s="116"/>
      <c r="X103" s="116"/>
      <c r="Y103" s="116"/>
      <c r="Z103" s="116"/>
    </row>
    <row r="104" spans="1:26" ht="15.6" outlineLevel="1" x14ac:dyDescent="0.3">
      <c r="A104" s="116" t="s">
        <v>170</v>
      </c>
      <c r="B104" s="116"/>
      <c r="D104" s="116" t="s">
        <v>57</v>
      </c>
      <c r="E104" s="116" t="s">
        <v>57</v>
      </c>
      <c r="F104" s="116" t="s">
        <v>57</v>
      </c>
      <c r="G104" s="116" t="s">
        <v>57</v>
      </c>
      <c r="H104" s="116" t="s">
        <v>57</v>
      </c>
      <c r="I104" s="116" t="s">
        <v>57</v>
      </c>
      <c r="J104" s="116" t="s">
        <v>57</v>
      </c>
      <c r="K104" s="116" t="s">
        <v>57</v>
      </c>
      <c r="L104" s="116" t="s">
        <v>57</v>
      </c>
      <c r="M104" s="116" t="s">
        <v>57</v>
      </c>
      <c r="N104" s="116"/>
      <c r="O104" s="116"/>
      <c r="P104" s="116"/>
      <c r="Q104" s="116"/>
      <c r="R104" s="116"/>
      <c r="S104" s="116"/>
      <c r="T104" s="116"/>
      <c r="U104" s="116"/>
      <c r="V104" s="116"/>
      <c r="W104" s="116"/>
      <c r="X104" s="116"/>
      <c r="Y104" s="116"/>
      <c r="Z104" s="116"/>
    </row>
    <row r="105" spans="1:26" ht="15.6" outlineLevel="1" x14ac:dyDescent="0.3">
      <c r="A105" s="116"/>
      <c r="B105" s="116"/>
      <c r="C105" s="126"/>
      <c r="D105" s="129"/>
      <c r="E105" s="129" t="s">
        <v>86</v>
      </c>
      <c r="F105" s="129"/>
      <c r="G105" s="129"/>
      <c r="H105" s="129"/>
      <c r="I105" s="116"/>
      <c r="J105" s="116"/>
      <c r="K105" s="116"/>
      <c r="L105" s="116"/>
      <c r="M105" s="116"/>
      <c r="N105" s="116"/>
      <c r="O105" s="116"/>
      <c r="P105" s="116"/>
      <c r="Q105" s="116"/>
      <c r="R105" s="116"/>
      <c r="S105" s="116"/>
      <c r="T105" s="116"/>
      <c r="U105" s="116"/>
      <c r="V105" s="116"/>
      <c r="W105" s="116"/>
      <c r="X105" s="116"/>
      <c r="Y105" s="116"/>
      <c r="Z105" s="116"/>
    </row>
    <row r="106" spans="1:26" ht="15.6" outlineLevel="1" x14ac:dyDescent="0.3">
      <c r="A106" s="116"/>
      <c r="B106" s="116"/>
      <c r="C106" s="126"/>
      <c r="D106" s="129"/>
      <c r="E106" s="144"/>
      <c r="F106" s="129"/>
      <c r="G106" s="129"/>
      <c r="H106" s="129"/>
      <c r="I106" s="116"/>
      <c r="J106" s="116"/>
      <c r="K106" s="116"/>
      <c r="L106" s="116"/>
      <c r="M106" s="116"/>
      <c r="N106" s="116"/>
      <c r="O106" s="116"/>
      <c r="P106" s="116"/>
      <c r="Q106" s="116"/>
      <c r="R106" s="116"/>
      <c r="S106" s="116"/>
      <c r="T106" s="116"/>
      <c r="U106" s="116"/>
      <c r="V106" s="116"/>
      <c r="W106" s="116"/>
      <c r="X106" s="116"/>
      <c r="Y106" s="116"/>
      <c r="Z106" s="116"/>
    </row>
    <row r="107" spans="1:26" ht="15.6" x14ac:dyDescent="0.3">
      <c r="A107" s="116"/>
      <c r="B107" s="116"/>
      <c r="C107" s="126"/>
      <c r="D107" s="129"/>
      <c r="E107" s="129"/>
      <c r="F107" s="129"/>
      <c r="G107" s="129"/>
      <c r="H107" s="129"/>
      <c r="I107" s="116"/>
      <c r="J107" s="116"/>
      <c r="K107" s="116"/>
      <c r="L107" s="116"/>
      <c r="M107" s="116"/>
      <c r="N107" s="116"/>
      <c r="O107" s="116"/>
      <c r="P107" s="116"/>
      <c r="Q107" s="116"/>
      <c r="R107" s="116"/>
      <c r="S107" s="116"/>
      <c r="T107" s="116"/>
      <c r="U107" s="116"/>
      <c r="V107" s="116"/>
      <c r="W107" s="116"/>
      <c r="X107" s="116"/>
      <c r="Y107" s="116"/>
      <c r="Z107" s="116"/>
    </row>
    <row r="108" spans="1:26" ht="18" x14ac:dyDescent="0.3">
      <c r="A108" s="156" t="s">
        <v>171</v>
      </c>
      <c r="B108" s="156"/>
      <c r="C108" s="156"/>
      <c r="D108" s="156"/>
      <c r="E108" s="156"/>
      <c r="F108" s="156"/>
      <c r="G108" s="156"/>
      <c r="H108" s="156"/>
      <c r="I108" s="156"/>
      <c r="J108" s="156"/>
      <c r="K108" s="156"/>
      <c r="L108" s="156"/>
      <c r="M108" s="156"/>
      <c r="N108" s="116"/>
      <c r="O108" s="116"/>
      <c r="P108" s="116"/>
      <c r="Q108" s="116"/>
      <c r="R108" s="116"/>
      <c r="S108" s="116"/>
      <c r="T108" s="116"/>
      <c r="U108" s="116"/>
      <c r="V108" s="116"/>
      <c r="W108" s="116"/>
      <c r="X108" s="116"/>
      <c r="Y108" s="116"/>
      <c r="Z108" s="116"/>
    </row>
    <row r="109" spans="1:26" ht="15.6" outlineLevel="1" x14ac:dyDescent="0.3">
      <c r="A109" s="116"/>
      <c r="B109" s="116"/>
      <c r="C109" s="12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5.6" outlineLevel="1" x14ac:dyDescent="0.3">
      <c r="A110" s="116" t="s">
        <v>83</v>
      </c>
      <c r="B110" s="116"/>
      <c r="C110" s="126"/>
      <c r="D110" s="116" t="s">
        <v>57</v>
      </c>
      <c r="E110" s="116">
        <f>E26</f>
        <v>198270</v>
      </c>
      <c r="F110" s="116">
        <f>F26</f>
        <v>211915</v>
      </c>
      <c r="G110" s="116">
        <f t="shared" ref="G110:M110" si="85">G26</f>
        <v>245122</v>
      </c>
      <c r="H110" s="116">
        <f t="shared" si="85"/>
        <v>281724</v>
      </c>
      <c r="I110" s="116">
        <f t="shared" si="85"/>
        <v>316924.61351708934</v>
      </c>
      <c r="J110" s="116">
        <f t="shared" si="85"/>
        <v>356523.44370006263</v>
      </c>
      <c r="K110" s="116">
        <f t="shared" si="85"/>
        <v>401070.03522747121</v>
      </c>
      <c r="L110" s="116">
        <f t="shared" si="85"/>
        <v>451182.59682438028</v>
      </c>
      <c r="M110" s="116">
        <f t="shared" si="85"/>
        <v>507556.58063992934</v>
      </c>
      <c r="N110" s="116"/>
      <c r="O110" s="116"/>
      <c r="P110" s="116"/>
      <c r="Q110" s="116"/>
      <c r="R110" s="116"/>
      <c r="S110" s="116"/>
      <c r="T110" s="116"/>
      <c r="U110" s="116"/>
      <c r="V110" s="116"/>
      <c r="W110" s="116"/>
      <c r="X110" s="116"/>
      <c r="Y110" s="116"/>
      <c r="Z110" s="116"/>
    </row>
    <row r="111" spans="1:26" ht="15.6" outlineLevel="1" x14ac:dyDescent="0.3">
      <c r="A111" s="116" t="s">
        <v>172</v>
      </c>
      <c r="B111" s="116"/>
      <c r="C111" s="126"/>
      <c r="D111" s="157" t="s">
        <v>57</v>
      </c>
      <c r="E111" s="157">
        <f>E28/E26</f>
        <v>0.68401674484289099</v>
      </c>
      <c r="F111" s="157">
        <f t="shared" ref="F111:M111" si="86">F28/F26</f>
        <v>0.68920085883491022</v>
      </c>
      <c r="G111" s="157">
        <f t="shared" si="86"/>
        <v>0.69764443827971379</v>
      </c>
      <c r="H111" s="157">
        <f t="shared" si="86"/>
        <v>0.68823742386165188</v>
      </c>
      <c r="I111" s="157">
        <f t="shared" si="86"/>
        <v>0.68977486645479169</v>
      </c>
      <c r="J111" s="157">
        <f t="shared" si="86"/>
        <v>0.68977486645479169</v>
      </c>
      <c r="K111" s="157">
        <f t="shared" si="86"/>
        <v>0.68977486645479169</v>
      </c>
      <c r="L111" s="157">
        <f>L28/L26</f>
        <v>0.68977486645479158</v>
      </c>
      <c r="M111" s="157">
        <f t="shared" si="86"/>
        <v>0.68977486645479169</v>
      </c>
      <c r="N111" s="116"/>
      <c r="O111" s="116"/>
      <c r="P111" s="116"/>
      <c r="Q111" s="116"/>
      <c r="R111" s="116"/>
      <c r="S111" s="116"/>
      <c r="T111" s="116"/>
      <c r="U111" s="116"/>
      <c r="V111" s="116"/>
      <c r="W111" s="116"/>
      <c r="X111" s="116"/>
      <c r="Y111" s="116"/>
      <c r="Z111" s="116"/>
    </row>
    <row r="112" spans="1:26" ht="15.6" outlineLevel="1" x14ac:dyDescent="0.3">
      <c r="A112" s="116"/>
      <c r="B112" s="116"/>
      <c r="C112" s="12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5.6" outlineLevel="1" x14ac:dyDescent="0.3">
      <c r="A113" s="116" t="s">
        <v>143</v>
      </c>
      <c r="B113" s="116"/>
      <c r="C113" s="126"/>
      <c r="D113" s="116" t="s">
        <v>57</v>
      </c>
      <c r="E113" s="116">
        <f>E68</f>
        <v>86752</v>
      </c>
      <c r="F113" s="116">
        <f t="shared" ref="F113:M113" si="87">F68</f>
        <v>88880</v>
      </c>
      <c r="G113" s="116">
        <f t="shared" si="87"/>
        <v>108599</v>
      </c>
      <c r="H113" s="116">
        <f t="shared" si="87"/>
        <v>141335</v>
      </c>
      <c r="I113" s="116">
        <f t="shared" si="87"/>
        <v>145396.82654568669</v>
      </c>
      <c r="J113" s="116">
        <f t="shared" si="87"/>
        <v>159610.51299473821</v>
      </c>
      <c r="K113" s="116">
        <f t="shared" si="87"/>
        <v>176075.00255438493</v>
      </c>
      <c r="L113" s="116">
        <f t="shared" si="87"/>
        <v>194370.17057131467</v>
      </c>
      <c r="M113" s="116">
        <f t="shared" si="87"/>
        <v>214757.82744229172</v>
      </c>
      <c r="N113" s="116"/>
      <c r="O113" s="116"/>
      <c r="P113" s="116"/>
      <c r="Q113" s="116"/>
      <c r="R113" s="116"/>
      <c r="S113" s="116"/>
      <c r="T113" s="116"/>
      <c r="U113" s="116"/>
      <c r="V113" s="116"/>
      <c r="W113" s="116"/>
      <c r="X113" s="116"/>
      <c r="Y113" s="116"/>
      <c r="Z113" s="116"/>
    </row>
    <row r="114" spans="1:26" ht="15.6" outlineLevel="1" x14ac:dyDescent="0.3">
      <c r="A114" s="116" t="s">
        <v>147</v>
      </c>
      <c r="B114" s="116"/>
      <c r="C114" s="126"/>
      <c r="D114" s="116" t="s">
        <v>57</v>
      </c>
      <c r="E114" s="116">
        <f>E72</f>
        <v>-23886</v>
      </c>
      <c r="F114" s="116">
        <f t="shared" ref="F114:M114" si="88">F72</f>
        <v>-28107</v>
      </c>
      <c r="G114" s="116">
        <f t="shared" si="88"/>
        <v>-44477</v>
      </c>
      <c r="H114" s="116">
        <f t="shared" si="88"/>
        <v>-64551</v>
      </c>
      <c r="I114" s="116">
        <f t="shared" si="88"/>
        <v>-40255.25</v>
      </c>
      <c r="J114" s="116">
        <f t="shared" si="88"/>
        <v>-40255.25</v>
      </c>
      <c r="K114" s="116">
        <f t="shared" si="88"/>
        <v>-40255.25</v>
      </c>
      <c r="L114" s="116">
        <f t="shared" si="88"/>
        <v>-40255.25</v>
      </c>
      <c r="M114" s="116">
        <f t="shared" si="88"/>
        <v>-40255.25</v>
      </c>
      <c r="N114" s="116"/>
      <c r="O114" s="116"/>
      <c r="P114" s="116"/>
      <c r="Q114" s="116"/>
      <c r="R114" s="116"/>
      <c r="S114" s="116"/>
      <c r="T114" s="116"/>
      <c r="U114" s="116"/>
      <c r="V114" s="116"/>
      <c r="W114" s="116"/>
      <c r="X114" s="116"/>
      <c r="Y114" s="116"/>
      <c r="Z114" s="116"/>
    </row>
    <row r="115" spans="1:26" ht="15.6" outlineLevel="1" x14ac:dyDescent="0.3">
      <c r="A115" s="116" t="s">
        <v>150</v>
      </c>
      <c r="B115" s="116"/>
      <c r="C115" s="126"/>
      <c r="D115" s="116" t="s">
        <v>57</v>
      </c>
      <c r="E115" s="116">
        <f>E77</f>
        <v>-39878</v>
      </c>
      <c r="F115" s="116">
        <f t="shared" ref="F115:M115" si="89">F77</f>
        <v>-23129</v>
      </c>
      <c r="G115" s="116">
        <f t="shared" si="89"/>
        <v>-19927</v>
      </c>
      <c r="H115" s="116">
        <f t="shared" si="89"/>
        <v>-19580</v>
      </c>
      <c r="I115" s="116">
        <f t="shared" si="89"/>
        <v>-25628.5</v>
      </c>
      <c r="J115" s="116">
        <f t="shared" si="89"/>
        <v>-25628.5</v>
      </c>
      <c r="K115" s="116">
        <f t="shared" si="89"/>
        <v>-25628.5</v>
      </c>
      <c r="L115" s="116">
        <f t="shared" si="89"/>
        <v>-25628.5</v>
      </c>
      <c r="M115" s="116">
        <f t="shared" si="89"/>
        <v>-25628.5</v>
      </c>
      <c r="N115" s="116"/>
      <c r="O115" s="116"/>
      <c r="P115" s="116"/>
      <c r="Q115" s="116"/>
      <c r="R115" s="116"/>
      <c r="S115" s="116"/>
      <c r="T115" s="116"/>
      <c r="U115" s="116"/>
      <c r="V115" s="116"/>
      <c r="W115" s="116"/>
      <c r="X115" s="116"/>
      <c r="Y115" s="116"/>
      <c r="Z115" s="116"/>
    </row>
    <row r="116" spans="1:26" ht="15.6" outlineLevel="1" x14ac:dyDescent="0.3">
      <c r="A116" s="116"/>
      <c r="B116" s="116"/>
      <c r="C116" s="12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5.6" outlineLevel="1" x14ac:dyDescent="0.3">
      <c r="A117" s="116"/>
      <c r="B117" s="116"/>
      <c r="C117" s="12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5.6" outlineLevel="1" x14ac:dyDescent="0.3">
      <c r="A118" s="116"/>
      <c r="B118" s="116"/>
      <c r="C118" s="12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5.6" outlineLevel="1" x14ac:dyDescent="0.3">
      <c r="A119" s="116"/>
      <c r="B119" s="116"/>
      <c r="C119" s="12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5.6" outlineLevel="1" x14ac:dyDescent="0.3">
      <c r="A120" s="116"/>
      <c r="B120" s="116"/>
      <c r="C120" s="12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5.6" outlineLevel="1" x14ac:dyDescent="0.3">
      <c r="A121" s="116"/>
      <c r="B121" s="116"/>
      <c r="C121" s="12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5.6" outlineLevel="1" x14ac:dyDescent="0.3">
      <c r="A122" s="116"/>
      <c r="B122" s="116"/>
      <c r="C122" s="12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5.6" outlineLevel="1" x14ac:dyDescent="0.3">
      <c r="A123" s="116"/>
      <c r="B123" s="116"/>
      <c r="C123" s="12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5.6" outlineLevel="1" x14ac:dyDescent="0.3">
      <c r="A124" s="116"/>
      <c r="B124" s="116"/>
      <c r="C124" s="12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5.6" outlineLevel="1" x14ac:dyDescent="0.3">
      <c r="A125" s="116"/>
      <c r="B125" s="116"/>
      <c r="C125" s="12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5.6" outlineLevel="1" x14ac:dyDescent="0.3">
      <c r="A126" s="116"/>
      <c r="B126" s="116"/>
      <c r="C126" s="12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5.6" outlineLevel="1" x14ac:dyDescent="0.3">
      <c r="A127" s="116"/>
      <c r="B127" s="116"/>
      <c r="C127" s="12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5.6" outlineLevel="1" x14ac:dyDescent="0.3">
      <c r="A128" s="116"/>
      <c r="B128" s="116"/>
      <c r="C128" s="12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5.6" outlineLevel="1" x14ac:dyDescent="0.3">
      <c r="A129" s="116"/>
      <c r="B129" s="116"/>
      <c r="C129" s="12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5.6" outlineLevel="1" x14ac:dyDescent="0.3">
      <c r="A130" s="116"/>
      <c r="B130" s="116"/>
      <c r="C130" s="12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5.6" outlineLevel="1" x14ac:dyDescent="0.3">
      <c r="A131" s="116"/>
      <c r="B131" s="116"/>
      <c r="C131" s="12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5.6" outlineLevel="1" x14ac:dyDescent="0.3">
      <c r="A132" s="116"/>
      <c r="B132" s="116"/>
      <c r="C132" s="12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5.6" x14ac:dyDescent="0.3">
      <c r="A133" s="116"/>
      <c r="B133" s="116"/>
      <c r="C133" s="12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5.6" x14ac:dyDescent="0.3">
      <c r="A134" s="130"/>
      <c r="B134" s="116"/>
      <c r="C134" s="12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5.6" x14ac:dyDescent="0.3">
      <c r="A135" s="158"/>
      <c r="B135" s="159"/>
      <c r="C135" s="159"/>
      <c r="D135" s="159"/>
      <c r="E135" s="159"/>
      <c r="F135" s="159"/>
      <c r="G135" s="159"/>
      <c r="H135" s="159"/>
      <c r="I135" s="159"/>
      <c r="J135" s="159"/>
      <c r="K135" s="159"/>
      <c r="L135" s="159"/>
      <c r="M135" s="159"/>
      <c r="N135" s="116"/>
      <c r="O135" s="116"/>
      <c r="P135" s="116"/>
      <c r="Q135" s="116"/>
      <c r="R135" s="116"/>
      <c r="S135" s="116"/>
      <c r="T135" s="116"/>
      <c r="U135" s="116"/>
      <c r="V135" s="116"/>
      <c r="W135" s="116"/>
      <c r="X135" s="116"/>
      <c r="Y135" s="116"/>
      <c r="Z135" s="116"/>
    </row>
    <row r="136" spans="1:26" ht="15.6" x14ac:dyDescent="0.3">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5.6" x14ac:dyDescent="0.3">
      <c r="A137" s="116"/>
      <c r="B137" s="116"/>
      <c r="C137" s="12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5.6" x14ac:dyDescent="0.3">
      <c r="A138" s="116"/>
      <c r="B138" s="116"/>
      <c r="C138" s="12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5.6" x14ac:dyDescent="0.3">
      <c r="A139" s="116"/>
      <c r="B139" s="116"/>
      <c r="C139" s="12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5.6" x14ac:dyDescent="0.3">
      <c r="A140" s="116"/>
      <c r="B140" s="116"/>
      <c r="C140" s="12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5.6" x14ac:dyDescent="0.3">
      <c r="A141" s="116"/>
      <c r="B141" s="116"/>
      <c r="C141" s="12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5.6" x14ac:dyDescent="0.3">
      <c r="A142" s="116"/>
      <c r="B142" s="116"/>
      <c r="C142" s="12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5.6" x14ac:dyDescent="0.3">
      <c r="A143" s="116"/>
      <c r="B143" s="116"/>
      <c r="C143" s="12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5.6" x14ac:dyDescent="0.3">
      <c r="A144" s="116"/>
      <c r="B144" s="116"/>
      <c r="C144" s="12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5.6" x14ac:dyDescent="0.3">
      <c r="A145" s="116"/>
      <c r="B145" s="116"/>
      <c r="C145" s="12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5.6" x14ac:dyDescent="0.3">
      <c r="A146" s="116"/>
      <c r="B146" s="116"/>
      <c r="C146" s="12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5.6" x14ac:dyDescent="0.3">
      <c r="A147" s="116"/>
      <c r="B147" s="116"/>
      <c r="C147" s="12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5.6" x14ac:dyDescent="0.3">
      <c r="A148" s="116"/>
      <c r="B148" s="116"/>
      <c r="C148" s="12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5.6" x14ac:dyDescent="0.3">
      <c r="A149" s="116"/>
      <c r="B149" s="116"/>
      <c r="C149" s="12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5.6" x14ac:dyDescent="0.3">
      <c r="A150" s="116"/>
      <c r="B150" s="116"/>
      <c r="C150" s="12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5.6" x14ac:dyDescent="0.3">
      <c r="A151" s="116"/>
      <c r="B151" s="116"/>
      <c r="C151" s="12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5.6" x14ac:dyDescent="0.3">
      <c r="A152" s="116"/>
      <c r="B152" s="116"/>
      <c r="C152" s="12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5.6" x14ac:dyDescent="0.3">
      <c r="A153" s="116"/>
      <c r="B153" s="116"/>
      <c r="C153" s="12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5.6" x14ac:dyDescent="0.3">
      <c r="A154" s="116"/>
      <c r="B154" s="116"/>
      <c r="C154" s="12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5.6" x14ac:dyDescent="0.3">
      <c r="A155" s="116"/>
      <c r="B155" s="116"/>
      <c r="C155" s="12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5.6" x14ac:dyDescent="0.3">
      <c r="A156" s="116"/>
      <c r="B156" s="116"/>
      <c r="C156" s="12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5.6" x14ac:dyDescent="0.3">
      <c r="A157" s="116"/>
      <c r="B157" s="116"/>
      <c r="C157" s="12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5.6" x14ac:dyDescent="0.3">
      <c r="A158" s="116"/>
      <c r="B158" s="116"/>
      <c r="C158" s="12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5.6" x14ac:dyDescent="0.3">
      <c r="A159" s="116"/>
      <c r="B159" s="116"/>
      <c r="C159" s="12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5.6" x14ac:dyDescent="0.3">
      <c r="A160" s="116"/>
      <c r="B160" s="116"/>
      <c r="C160" s="12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5.6" x14ac:dyDescent="0.3">
      <c r="A161" s="116"/>
      <c r="B161" s="116"/>
      <c r="C161" s="12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5.6" x14ac:dyDescent="0.3">
      <c r="A162" s="116"/>
      <c r="B162" s="116"/>
      <c r="C162" s="12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5.6" x14ac:dyDescent="0.3">
      <c r="A163" s="116"/>
      <c r="B163" s="116"/>
      <c r="C163" s="12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5.6" x14ac:dyDescent="0.3">
      <c r="A164" s="116"/>
      <c r="B164" s="116"/>
      <c r="C164" s="12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5.6" x14ac:dyDescent="0.3">
      <c r="A165" s="116"/>
      <c r="B165" s="116"/>
      <c r="C165" s="12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5.6" x14ac:dyDescent="0.3">
      <c r="A166" s="116"/>
      <c r="B166" s="116"/>
      <c r="C166" s="12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5.6" x14ac:dyDescent="0.3">
      <c r="A167" s="116"/>
      <c r="B167" s="116"/>
      <c r="C167" s="12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5.6" x14ac:dyDescent="0.3">
      <c r="A168" s="116"/>
      <c r="B168" s="116"/>
      <c r="C168" s="12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5.6" x14ac:dyDescent="0.3">
      <c r="A169" s="116"/>
      <c r="B169" s="116"/>
      <c r="C169" s="12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5.6" x14ac:dyDescent="0.3">
      <c r="A170" s="116"/>
      <c r="B170" s="116"/>
      <c r="C170" s="12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5.6" x14ac:dyDescent="0.3">
      <c r="A171" s="116"/>
      <c r="B171" s="116"/>
      <c r="C171" s="12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5.6" x14ac:dyDescent="0.3">
      <c r="A172" s="116"/>
      <c r="B172" s="116"/>
      <c r="C172" s="12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5.6" x14ac:dyDescent="0.3">
      <c r="A173" s="116"/>
      <c r="B173" s="116"/>
      <c r="C173" s="12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5.6" x14ac:dyDescent="0.3">
      <c r="A174" s="116"/>
      <c r="B174" s="116"/>
      <c r="C174" s="12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5.6" x14ac:dyDescent="0.3">
      <c r="A175" s="116"/>
      <c r="B175" s="116"/>
      <c r="C175" s="12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5.6" x14ac:dyDescent="0.3">
      <c r="A176" s="116"/>
      <c r="B176" s="116"/>
      <c r="C176" s="12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5.6" x14ac:dyDescent="0.3">
      <c r="A177" s="116"/>
      <c r="B177" s="116"/>
      <c r="C177" s="12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5.6" x14ac:dyDescent="0.3">
      <c r="A178" s="116"/>
      <c r="B178" s="116"/>
      <c r="C178" s="12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5.6" x14ac:dyDescent="0.3">
      <c r="A179" s="116"/>
      <c r="B179" s="116"/>
      <c r="C179" s="12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5.6" x14ac:dyDescent="0.3">
      <c r="A180" s="116"/>
      <c r="B180" s="116"/>
      <c r="C180" s="12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5.6" x14ac:dyDescent="0.3">
      <c r="A181" s="116"/>
      <c r="B181" s="116"/>
      <c r="C181" s="12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5.6" x14ac:dyDescent="0.3">
      <c r="A182" s="116"/>
      <c r="B182" s="116"/>
      <c r="C182" s="12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5.6" x14ac:dyDescent="0.3">
      <c r="A183" s="116"/>
      <c r="B183" s="116"/>
      <c r="C183" s="12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5.6" x14ac:dyDescent="0.3">
      <c r="A184" s="116"/>
      <c r="B184" s="116"/>
      <c r="C184" s="12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5.6" x14ac:dyDescent="0.3">
      <c r="A185" s="116"/>
      <c r="B185" s="116"/>
      <c r="C185" s="12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5.6" x14ac:dyDescent="0.3">
      <c r="A186" s="116"/>
      <c r="B186" s="116"/>
      <c r="C186" s="12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5.6" x14ac:dyDescent="0.3">
      <c r="A187" s="116"/>
      <c r="B187" s="116"/>
      <c r="C187" s="12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5.6" x14ac:dyDescent="0.3">
      <c r="A188" s="116"/>
      <c r="B188" s="116"/>
      <c r="C188" s="12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5.6" x14ac:dyDescent="0.3">
      <c r="A189" s="116"/>
      <c r="B189" s="116"/>
      <c r="C189" s="12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5.6" x14ac:dyDescent="0.3">
      <c r="A190" s="116"/>
      <c r="B190" s="116"/>
      <c r="C190" s="12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5.6" x14ac:dyDescent="0.3">
      <c r="A191" s="116"/>
      <c r="B191" s="116"/>
      <c r="C191" s="12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5.6" x14ac:dyDescent="0.3">
      <c r="A192" s="116"/>
      <c r="B192" s="116"/>
      <c r="C192" s="12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5.6" x14ac:dyDescent="0.3">
      <c r="A193" s="116"/>
      <c r="B193" s="116"/>
      <c r="C193" s="12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5.6" x14ac:dyDescent="0.3">
      <c r="A194" s="116"/>
      <c r="B194" s="116"/>
      <c r="C194" s="12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5.6" x14ac:dyDescent="0.3">
      <c r="A195" s="116"/>
      <c r="B195" s="116"/>
      <c r="C195" s="12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5.6" x14ac:dyDescent="0.3">
      <c r="A196" s="116"/>
      <c r="B196" s="116"/>
      <c r="C196" s="12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5.6" x14ac:dyDescent="0.3">
      <c r="A197" s="116"/>
      <c r="B197" s="116"/>
      <c r="C197" s="12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5.6" x14ac:dyDescent="0.3">
      <c r="A198" s="116"/>
      <c r="B198" s="116"/>
      <c r="C198" s="12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5.6" x14ac:dyDescent="0.3">
      <c r="A199" s="116"/>
      <c r="B199" s="116"/>
      <c r="C199" s="12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5.6" x14ac:dyDescent="0.3">
      <c r="A200" s="116"/>
      <c r="B200" s="116"/>
      <c r="C200" s="12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5.6" x14ac:dyDescent="0.3">
      <c r="A201" s="116"/>
      <c r="B201" s="116"/>
      <c r="C201" s="12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5.6" x14ac:dyDescent="0.3">
      <c r="A202" s="116"/>
      <c r="B202" s="116"/>
      <c r="C202" s="12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5.6" x14ac:dyDescent="0.3">
      <c r="A203" s="116"/>
      <c r="B203" s="116"/>
      <c r="C203" s="12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5.6" x14ac:dyDescent="0.3">
      <c r="A204" s="116"/>
      <c r="B204" s="116"/>
      <c r="C204" s="12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5.6" x14ac:dyDescent="0.3">
      <c r="A205" s="116"/>
      <c r="B205" s="116"/>
      <c r="C205" s="12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5.6" x14ac:dyDescent="0.3">
      <c r="A206" s="116"/>
      <c r="B206" s="116"/>
      <c r="C206" s="12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5.6" x14ac:dyDescent="0.3">
      <c r="A207" s="116"/>
      <c r="B207" s="116"/>
      <c r="C207" s="12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5.6" x14ac:dyDescent="0.3">
      <c r="A208" s="116"/>
      <c r="B208" s="116"/>
      <c r="C208" s="12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5.6" x14ac:dyDescent="0.3">
      <c r="A209" s="116"/>
      <c r="B209" s="116"/>
      <c r="C209" s="12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5.6" x14ac:dyDescent="0.3">
      <c r="A210" s="116"/>
      <c r="B210" s="116"/>
      <c r="C210" s="12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5.6" x14ac:dyDescent="0.3">
      <c r="A211" s="116"/>
      <c r="B211" s="116"/>
      <c r="C211" s="12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5.6" x14ac:dyDescent="0.3">
      <c r="A212" s="116"/>
      <c r="B212" s="116"/>
      <c r="C212" s="12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5.6" x14ac:dyDescent="0.3">
      <c r="A213" s="116"/>
      <c r="B213" s="116"/>
      <c r="C213" s="12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5.6" x14ac:dyDescent="0.3">
      <c r="A214" s="116"/>
      <c r="B214" s="116"/>
      <c r="C214" s="12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5.6" x14ac:dyDescent="0.3">
      <c r="A215" s="116"/>
      <c r="B215" s="116"/>
      <c r="C215" s="12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5.6" x14ac:dyDescent="0.3">
      <c r="A216" s="116"/>
      <c r="B216" s="116"/>
      <c r="C216" s="12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5.6" x14ac:dyDescent="0.3">
      <c r="A217" s="116"/>
      <c r="B217" s="116"/>
      <c r="C217" s="12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5.6" x14ac:dyDescent="0.3">
      <c r="A218" s="116"/>
      <c r="B218" s="116"/>
      <c r="C218" s="12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5.6" x14ac:dyDescent="0.3">
      <c r="A219" s="116"/>
      <c r="B219" s="116"/>
      <c r="C219" s="12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5.6" x14ac:dyDescent="0.3">
      <c r="A220" s="116"/>
      <c r="B220" s="116"/>
      <c r="C220" s="12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5.6" x14ac:dyDescent="0.3">
      <c r="A221" s="116"/>
      <c r="B221" s="116"/>
      <c r="C221" s="12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5.6" x14ac:dyDescent="0.3">
      <c r="A222" s="116"/>
      <c r="B222" s="116"/>
      <c r="C222" s="12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5.6" x14ac:dyDescent="0.3">
      <c r="A223" s="116"/>
      <c r="B223" s="116"/>
      <c r="C223" s="12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5.6" x14ac:dyDescent="0.3">
      <c r="A224" s="116"/>
      <c r="B224" s="116"/>
      <c r="C224" s="12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5.6" x14ac:dyDescent="0.3">
      <c r="A225" s="116"/>
      <c r="B225" s="116"/>
      <c r="C225" s="12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5.6" x14ac:dyDescent="0.3">
      <c r="A226" s="116"/>
      <c r="B226" s="116"/>
      <c r="C226" s="12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5.6" x14ac:dyDescent="0.3">
      <c r="A227" s="116"/>
      <c r="B227" s="116"/>
      <c r="C227" s="12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5.6" x14ac:dyDescent="0.3">
      <c r="A228" s="116"/>
      <c r="B228" s="116"/>
      <c r="C228" s="12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5.6" x14ac:dyDescent="0.3">
      <c r="A229" s="116"/>
      <c r="B229" s="116"/>
      <c r="C229" s="12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5.6" x14ac:dyDescent="0.3">
      <c r="A230" s="116"/>
      <c r="B230" s="116"/>
      <c r="C230" s="12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5.6" x14ac:dyDescent="0.3">
      <c r="A231" s="116"/>
      <c r="B231" s="116"/>
      <c r="C231" s="12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5.6" x14ac:dyDescent="0.3">
      <c r="A232" s="116"/>
      <c r="B232" s="116"/>
      <c r="C232" s="12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5.6" x14ac:dyDescent="0.3">
      <c r="A233" s="116"/>
      <c r="B233" s="116"/>
      <c r="C233" s="12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5.6" x14ac:dyDescent="0.3">
      <c r="A234" s="116"/>
      <c r="B234" s="116"/>
      <c r="C234" s="12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5.6" x14ac:dyDescent="0.3">
      <c r="A235" s="116"/>
      <c r="B235" s="116"/>
      <c r="C235" s="12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5.6" x14ac:dyDescent="0.3">
      <c r="A236" s="116"/>
      <c r="B236" s="116"/>
      <c r="C236" s="12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5.6" x14ac:dyDescent="0.3">
      <c r="A237" s="116"/>
      <c r="B237" s="116"/>
      <c r="C237" s="12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5.6" x14ac:dyDescent="0.3">
      <c r="A238" s="116"/>
      <c r="B238" s="116"/>
      <c r="C238" s="12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5.6" x14ac:dyDescent="0.3">
      <c r="A239" s="116"/>
      <c r="B239" s="116"/>
      <c r="C239" s="12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5.6" x14ac:dyDescent="0.3">
      <c r="A240" s="116"/>
      <c r="B240" s="116"/>
      <c r="C240" s="12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5.6" x14ac:dyDescent="0.3">
      <c r="A241" s="116"/>
      <c r="B241" s="116"/>
      <c r="C241" s="12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5.6" x14ac:dyDescent="0.3">
      <c r="A242" s="116"/>
      <c r="B242" s="116"/>
      <c r="C242" s="12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5.6" x14ac:dyDescent="0.3">
      <c r="A243" s="116"/>
      <c r="B243" s="116"/>
      <c r="C243" s="12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5.6" x14ac:dyDescent="0.3">
      <c r="A244" s="116"/>
      <c r="B244" s="116"/>
      <c r="C244" s="12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5.6" x14ac:dyDescent="0.3">
      <c r="A245" s="116"/>
      <c r="B245" s="116"/>
      <c r="C245" s="12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5.6" x14ac:dyDescent="0.3">
      <c r="A246" s="116"/>
      <c r="B246" s="116"/>
      <c r="C246" s="12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5.6" x14ac:dyDescent="0.3">
      <c r="A247" s="116"/>
      <c r="B247" s="116"/>
      <c r="C247" s="12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5.6" x14ac:dyDescent="0.3">
      <c r="A248" s="116"/>
      <c r="B248" s="116"/>
      <c r="C248" s="12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5.6" x14ac:dyDescent="0.3">
      <c r="A249" s="116"/>
      <c r="B249" s="116"/>
      <c r="C249" s="12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5.6" x14ac:dyDescent="0.3">
      <c r="A250" s="116"/>
      <c r="B250" s="116"/>
      <c r="C250" s="12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5.6" x14ac:dyDescent="0.3">
      <c r="A251" s="116"/>
      <c r="B251" s="116"/>
      <c r="C251" s="12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5.6" x14ac:dyDescent="0.3">
      <c r="A252" s="116"/>
      <c r="B252" s="116"/>
      <c r="C252" s="12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5.6" x14ac:dyDescent="0.3">
      <c r="A253" s="116"/>
      <c r="B253" s="116"/>
      <c r="C253" s="12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5.6" x14ac:dyDescent="0.3">
      <c r="A254" s="116"/>
      <c r="B254" s="116"/>
      <c r="C254" s="12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5.6" x14ac:dyDescent="0.3">
      <c r="A255" s="116"/>
      <c r="B255" s="116"/>
      <c r="C255" s="12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5.6" x14ac:dyDescent="0.3">
      <c r="A256" s="116"/>
      <c r="B256" s="116"/>
      <c r="C256" s="12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5.6" x14ac:dyDescent="0.3">
      <c r="A257" s="116"/>
      <c r="B257" s="116"/>
      <c r="C257" s="12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5.6" x14ac:dyDescent="0.3">
      <c r="A258" s="116"/>
      <c r="B258" s="116"/>
      <c r="C258" s="12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5.6" x14ac:dyDescent="0.3">
      <c r="A259" s="116"/>
      <c r="B259" s="116"/>
      <c r="C259" s="12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5.6" x14ac:dyDescent="0.3">
      <c r="A260" s="116"/>
      <c r="B260" s="116"/>
      <c r="C260" s="12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5.6" x14ac:dyDescent="0.3">
      <c r="A261" s="116"/>
      <c r="B261" s="116"/>
      <c r="C261" s="12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5.6" x14ac:dyDescent="0.3">
      <c r="A262" s="116"/>
      <c r="B262" s="116"/>
      <c r="C262" s="12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5.6" x14ac:dyDescent="0.3">
      <c r="A263" s="116"/>
      <c r="B263" s="116"/>
      <c r="C263" s="12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5.6" x14ac:dyDescent="0.3">
      <c r="A264" s="116"/>
      <c r="B264" s="116"/>
      <c r="C264" s="12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5.6" x14ac:dyDescent="0.3">
      <c r="A265" s="116"/>
      <c r="B265" s="116"/>
      <c r="C265" s="12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5.6" x14ac:dyDescent="0.3">
      <c r="A266" s="116"/>
      <c r="B266" s="116"/>
      <c r="C266" s="12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5.6" x14ac:dyDescent="0.3">
      <c r="A267" s="116"/>
      <c r="B267" s="116"/>
      <c r="C267" s="12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5.6" x14ac:dyDescent="0.3">
      <c r="A268" s="116"/>
      <c r="B268" s="116"/>
      <c r="C268" s="12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5.6" x14ac:dyDescent="0.3">
      <c r="A269" s="116"/>
      <c r="B269" s="116"/>
      <c r="C269" s="12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5.6" x14ac:dyDescent="0.3">
      <c r="A270" s="116"/>
      <c r="B270" s="116"/>
      <c r="C270" s="12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5.6" x14ac:dyDescent="0.3">
      <c r="A271" s="116"/>
      <c r="B271" s="116"/>
      <c r="C271" s="12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5.6" x14ac:dyDescent="0.3">
      <c r="A272" s="116"/>
      <c r="B272" s="116"/>
      <c r="C272" s="12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5.6" x14ac:dyDescent="0.3">
      <c r="A273" s="116"/>
      <c r="B273" s="116"/>
      <c r="C273" s="12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5.6" x14ac:dyDescent="0.3">
      <c r="A274" s="116"/>
      <c r="B274" s="116"/>
      <c r="C274" s="12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5.6" x14ac:dyDescent="0.3">
      <c r="A275" s="116"/>
      <c r="B275" s="116"/>
      <c r="C275" s="12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5.6" x14ac:dyDescent="0.3">
      <c r="A276" s="116"/>
      <c r="B276" s="116"/>
      <c r="C276" s="12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5.6" x14ac:dyDescent="0.3">
      <c r="A277" s="116"/>
      <c r="B277" s="116"/>
      <c r="C277" s="12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5.6" x14ac:dyDescent="0.3">
      <c r="A278" s="116"/>
      <c r="B278" s="116"/>
      <c r="C278" s="12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5.6" x14ac:dyDescent="0.3">
      <c r="A279" s="116"/>
      <c r="B279" s="116"/>
      <c r="C279" s="12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5.6" x14ac:dyDescent="0.3">
      <c r="A280" s="116"/>
      <c r="B280" s="116"/>
      <c r="C280" s="12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5.6" x14ac:dyDescent="0.3">
      <c r="A281" s="116"/>
      <c r="B281" s="116"/>
      <c r="C281" s="12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5.6" x14ac:dyDescent="0.3">
      <c r="A282" s="116"/>
      <c r="B282" s="116"/>
      <c r="C282" s="12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5.6" x14ac:dyDescent="0.3">
      <c r="A283" s="116"/>
      <c r="B283" s="116"/>
      <c r="C283" s="12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5.6" x14ac:dyDescent="0.3">
      <c r="A284" s="116"/>
      <c r="B284" s="116"/>
      <c r="C284" s="12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5.6" x14ac:dyDescent="0.3">
      <c r="A285" s="116"/>
      <c r="B285" s="116"/>
      <c r="C285" s="12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5.6" x14ac:dyDescent="0.3">
      <c r="A286" s="116"/>
      <c r="B286" s="116"/>
      <c r="C286" s="12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5.6" x14ac:dyDescent="0.3">
      <c r="A287" s="116"/>
      <c r="B287" s="116"/>
      <c r="C287" s="12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5.6" x14ac:dyDescent="0.3">
      <c r="A288" s="116"/>
      <c r="B288" s="116"/>
      <c r="C288" s="12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5.6" x14ac:dyDescent="0.3">
      <c r="A289" s="116"/>
      <c r="B289" s="116"/>
      <c r="C289" s="12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5.6" x14ac:dyDescent="0.3">
      <c r="A290" s="116"/>
      <c r="B290" s="116"/>
      <c r="C290" s="12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5.6" x14ac:dyDescent="0.3">
      <c r="A291" s="116"/>
      <c r="B291" s="116"/>
      <c r="C291" s="12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5.6" x14ac:dyDescent="0.3">
      <c r="A292" s="116"/>
      <c r="B292" s="116"/>
      <c r="C292" s="12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5.6" x14ac:dyDescent="0.3">
      <c r="A293" s="116"/>
      <c r="B293" s="116"/>
      <c r="C293" s="12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5.6" x14ac:dyDescent="0.3">
      <c r="A294" s="116"/>
      <c r="B294" s="116"/>
      <c r="C294" s="12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5.6" x14ac:dyDescent="0.3">
      <c r="A295" s="116"/>
      <c r="B295" s="116"/>
      <c r="C295" s="12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5.6" x14ac:dyDescent="0.3">
      <c r="A296" s="116"/>
      <c r="B296" s="116"/>
      <c r="C296" s="12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5.6" x14ac:dyDescent="0.3">
      <c r="A297" s="116"/>
      <c r="B297" s="116"/>
      <c r="C297" s="12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5.6" x14ac:dyDescent="0.3">
      <c r="A298" s="116"/>
      <c r="B298" s="116"/>
      <c r="C298" s="12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5.6" x14ac:dyDescent="0.3">
      <c r="A299" s="116"/>
      <c r="B299" s="116"/>
      <c r="C299" s="12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5.6" x14ac:dyDescent="0.3">
      <c r="A300" s="116"/>
      <c r="B300" s="116"/>
      <c r="C300" s="12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5.6" x14ac:dyDescent="0.3">
      <c r="A301" s="116"/>
      <c r="B301" s="116"/>
      <c r="C301" s="12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5.6" x14ac:dyDescent="0.3">
      <c r="A302" s="116"/>
      <c r="B302" s="116"/>
      <c r="C302" s="12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5.6" x14ac:dyDescent="0.3">
      <c r="A303" s="116"/>
      <c r="B303" s="116"/>
      <c r="C303" s="12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5.6" x14ac:dyDescent="0.3">
      <c r="A304" s="116"/>
      <c r="B304" s="116"/>
      <c r="C304" s="12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5.6" x14ac:dyDescent="0.3">
      <c r="A305" s="116"/>
      <c r="B305" s="116"/>
      <c r="C305" s="12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5.6" x14ac:dyDescent="0.3">
      <c r="A306" s="116"/>
      <c r="B306" s="116"/>
      <c r="C306" s="12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5.6" x14ac:dyDescent="0.3">
      <c r="A307" s="116"/>
      <c r="B307" s="116"/>
      <c r="C307" s="12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5.6" x14ac:dyDescent="0.3">
      <c r="A308" s="116"/>
      <c r="B308" s="116"/>
      <c r="C308" s="12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5.6" x14ac:dyDescent="0.3">
      <c r="A309" s="116"/>
      <c r="B309" s="116"/>
      <c r="C309" s="12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5.6" x14ac:dyDescent="0.3">
      <c r="A310" s="116"/>
      <c r="B310" s="116"/>
      <c r="C310" s="12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5.6" x14ac:dyDescent="0.3">
      <c r="A311" s="116"/>
      <c r="B311" s="116"/>
      <c r="C311" s="12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5.6" x14ac:dyDescent="0.3">
      <c r="A312" s="116"/>
      <c r="B312" s="116"/>
      <c r="C312" s="12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5.6" x14ac:dyDescent="0.3">
      <c r="A313" s="116"/>
      <c r="B313" s="116"/>
      <c r="C313" s="12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5.6" x14ac:dyDescent="0.3">
      <c r="A314" s="116"/>
      <c r="B314" s="116"/>
      <c r="C314" s="12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5.6" x14ac:dyDescent="0.3">
      <c r="A315" s="116"/>
      <c r="B315" s="116"/>
      <c r="C315" s="12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5.6" x14ac:dyDescent="0.3">
      <c r="A316" s="116"/>
      <c r="B316" s="116"/>
      <c r="C316" s="12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5.6" x14ac:dyDescent="0.3">
      <c r="A317" s="116"/>
      <c r="B317" s="116"/>
      <c r="C317" s="12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5.6" x14ac:dyDescent="0.3">
      <c r="A318" s="116"/>
      <c r="B318" s="116"/>
      <c r="C318" s="12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5.6" x14ac:dyDescent="0.3">
      <c r="A319" s="116"/>
      <c r="B319" s="116"/>
      <c r="C319" s="12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5.6" x14ac:dyDescent="0.3">
      <c r="A320" s="116"/>
      <c r="B320" s="116"/>
      <c r="C320" s="12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5.6" x14ac:dyDescent="0.3">
      <c r="A321" s="116"/>
      <c r="B321" s="116"/>
      <c r="C321" s="12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5.6" x14ac:dyDescent="0.3">
      <c r="A322" s="116"/>
      <c r="B322" s="116"/>
      <c r="C322" s="12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5.6" x14ac:dyDescent="0.3">
      <c r="A323" s="116"/>
      <c r="B323" s="116"/>
      <c r="C323" s="12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5.6" x14ac:dyDescent="0.3">
      <c r="A324" s="116"/>
      <c r="B324" s="116"/>
      <c r="C324" s="12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5.6" x14ac:dyDescent="0.3">
      <c r="A325" s="116"/>
      <c r="B325" s="116"/>
      <c r="C325" s="12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5.6" x14ac:dyDescent="0.3">
      <c r="A326" s="116"/>
      <c r="B326" s="116"/>
      <c r="C326" s="12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5.6" x14ac:dyDescent="0.3">
      <c r="A327" s="116"/>
      <c r="B327" s="116"/>
      <c r="C327" s="12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5.6" x14ac:dyDescent="0.3">
      <c r="A328" s="116"/>
      <c r="B328" s="116"/>
      <c r="C328" s="12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5.6" x14ac:dyDescent="0.3">
      <c r="A329" s="116"/>
      <c r="B329" s="116"/>
      <c r="C329" s="12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5.6" x14ac:dyDescent="0.3">
      <c r="A330" s="116"/>
      <c r="B330" s="116"/>
      <c r="C330" s="12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5.6" x14ac:dyDescent="0.3">
      <c r="A331" s="116"/>
      <c r="B331" s="116"/>
      <c r="C331" s="12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5.6" x14ac:dyDescent="0.3">
      <c r="A332" s="116"/>
      <c r="B332" s="116"/>
      <c r="C332" s="12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5.6" x14ac:dyDescent="0.3">
      <c r="A333" s="116"/>
      <c r="B333" s="116"/>
      <c r="C333" s="12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5.6" x14ac:dyDescent="0.3">
      <c r="A334" s="116"/>
      <c r="B334" s="116"/>
      <c r="C334" s="12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5.6" x14ac:dyDescent="0.3">
      <c r="A335" s="116"/>
      <c r="B335" s="116"/>
      <c r="C335" s="12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5.6" x14ac:dyDescent="0.3">
      <c r="A336" s="116"/>
      <c r="B336" s="116"/>
      <c r="C336" s="12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5.6" x14ac:dyDescent="0.3">
      <c r="A337" s="116"/>
      <c r="B337" s="116"/>
      <c r="C337" s="12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5.6" x14ac:dyDescent="0.3">
      <c r="A338" s="116"/>
      <c r="B338" s="116"/>
      <c r="C338" s="12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5.6" x14ac:dyDescent="0.3">
      <c r="A339" s="116"/>
      <c r="B339" s="116"/>
      <c r="C339" s="12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5.6" x14ac:dyDescent="0.3">
      <c r="A340" s="116"/>
      <c r="B340" s="116"/>
      <c r="C340" s="12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5.6" x14ac:dyDescent="0.3">
      <c r="A341" s="116"/>
      <c r="B341" s="116"/>
      <c r="C341" s="12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5.6" x14ac:dyDescent="0.3">
      <c r="A342" s="116"/>
      <c r="B342" s="116"/>
      <c r="C342" s="12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5.6" x14ac:dyDescent="0.3">
      <c r="A343" s="116"/>
      <c r="B343" s="116"/>
      <c r="C343" s="12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5.6" x14ac:dyDescent="0.3">
      <c r="A344" s="116"/>
      <c r="B344" s="116"/>
      <c r="C344" s="12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5.6" x14ac:dyDescent="0.3">
      <c r="A345" s="116"/>
      <c r="B345" s="116"/>
      <c r="C345" s="12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5.6" x14ac:dyDescent="0.3">
      <c r="A346" s="116"/>
      <c r="B346" s="116"/>
      <c r="C346" s="12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5.6" x14ac:dyDescent="0.3">
      <c r="A347" s="116"/>
      <c r="B347" s="116"/>
      <c r="C347" s="12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5.6" x14ac:dyDescent="0.3">
      <c r="A348" s="116"/>
      <c r="B348" s="116"/>
      <c r="C348" s="12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5.6" x14ac:dyDescent="0.3">
      <c r="A349" s="116"/>
      <c r="B349" s="116"/>
      <c r="C349" s="12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5.6" x14ac:dyDescent="0.3">
      <c r="A350" s="116"/>
      <c r="B350" s="116"/>
      <c r="C350" s="12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5.6" x14ac:dyDescent="0.3">
      <c r="A351" s="116"/>
      <c r="B351" s="116"/>
      <c r="C351" s="12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5.6" x14ac:dyDescent="0.3">
      <c r="A352" s="116"/>
      <c r="B352" s="116"/>
      <c r="C352" s="12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5.6" x14ac:dyDescent="0.3">
      <c r="A353" s="116"/>
      <c r="B353" s="116"/>
      <c r="C353" s="12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5.6" x14ac:dyDescent="0.3">
      <c r="A354" s="116"/>
      <c r="B354" s="116"/>
      <c r="C354" s="12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5.6" x14ac:dyDescent="0.3">
      <c r="A355" s="116"/>
      <c r="B355" s="116"/>
      <c r="C355" s="12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5.6" x14ac:dyDescent="0.3">
      <c r="A356" s="116"/>
      <c r="B356" s="116"/>
      <c r="C356" s="12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5.6" x14ac:dyDescent="0.3">
      <c r="A357" s="116"/>
      <c r="B357" s="116"/>
      <c r="C357" s="12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5.6" x14ac:dyDescent="0.3">
      <c r="A358" s="116"/>
      <c r="B358" s="116"/>
      <c r="C358" s="12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5.6" x14ac:dyDescent="0.3">
      <c r="A359" s="116"/>
      <c r="B359" s="116"/>
      <c r="C359" s="12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5.6" x14ac:dyDescent="0.3">
      <c r="A360" s="116"/>
      <c r="B360" s="116"/>
      <c r="C360" s="12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5.6" x14ac:dyDescent="0.3">
      <c r="A361" s="116"/>
      <c r="B361" s="116"/>
      <c r="C361" s="12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5.6" x14ac:dyDescent="0.3">
      <c r="A362" s="116"/>
      <c r="B362" s="116"/>
      <c r="C362" s="12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5.6" x14ac:dyDescent="0.3">
      <c r="A363" s="116"/>
      <c r="B363" s="116"/>
      <c r="C363" s="12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5.6" x14ac:dyDescent="0.3">
      <c r="A364" s="116"/>
      <c r="B364" s="116"/>
      <c r="C364" s="12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5.6" x14ac:dyDescent="0.3">
      <c r="A365" s="116"/>
      <c r="B365" s="116"/>
      <c r="C365" s="12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5.6" x14ac:dyDescent="0.3">
      <c r="A366" s="116"/>
      <c r="B366" s="116"/>
      <c r="C366" s="12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5.6" x14ac:dyDescent="0.3">
      <c r="A367" s="116"/>
      <c r="B367" s="116"/>
      <c r="C367" s="12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5.6" x14ac:dyDescent="0.3">
      <c r="A368" s="116"/>
      <c r="B368" s="116"/>
      <c r="C368" s="12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5.6" x14ac:dyDescent="0.3">
      <c r="A369" s="116"/>
      <c r="B369" s="116"/>
      <c r="C369" s="12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5.6" x14ac:dyDescent="0.3">
      <c r="A370" s="116"/>
      <c r="B370" s="116"/>
      <c r="C370" s="12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5.6" x14ac:dyDescent="0.3">
      <c r="A371" s="116"/>
      <c r="B371" s="116"/>
      <c r="C371" s="12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5.6" x14ac:dyDescent="0.3">
      <c r="A372" s="116"/>
      <c r="B372" s="116"/>
      <c r="C372" s="12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5.6" x14ac:dyDescent="0.3">
      <c r="A373" s="116"/>
      <c r="B373" s="116"/>
      <c r="C373" s="12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5.6" x14ac:dyDescent="0.3">
      <c r="A374" s="116"/>
      <c r="B374" s="116"/>
      <c r="C374" s="12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5.6" x14ac:dyDescent="0.3">
      <c r="A375" s="116"/>
      <c r="B375" s="116"/>
      <c r="C375" s="12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5.6" x14ac:dyDescent="0.3">
      <c r="A376" s="116"/>
      <c r="B376" s="116"/>
      <c r="C376" s="12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5.6" x14ac:dyDescent="0.3">
      <c r="A377" s="116"/>
      <c r="B377" s="116"/>
      <c r="C377" s="12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5.6" x14ac:dyDescent="0.3">
      <c r="A378" s="116"/>
      <c r="B378" s="116"/>
      <c r="C378" s="12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5.6" x14ac:dyDescent="0.3">
      <c r="A379" s="116"/>
      <c r="B379" s="116"/>
      <c r="C379" s="12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5.6" x14ac:dyDescent="0.3">
      <c r="A380" s="116"/>
      <c r="B380" s="116"/>
      <c r="C380" s="12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5.6" x14ac:dyDescent="0.3">
      <c r="A381" s="116"/>
      <c r="B381" s="116"/>
      <c r="C381" s="12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5.6" x14ac:dyDescent="0.3">
      <c r="A382" s="116"/>
      <c r="B382" s="116"/>
      <c r="C382" s="12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5.6" x14ac:dyDescent="0.3">
      <c r="A383" s="116"/>
      <c r="B383" s="116"/>
      <c r="C383" s="12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5.6" x14ac:dyDescent="0.3">
      <c r="A384" s="116"/>
      <c r="B384" s="116"/>
      <c r="C384" s="12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5.6" x14ac:dyDescent="0.3">
      <c r="A385" s="116"/>
      <c r="B385" s="116"/>
      <c r="C385" s="12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5.6" x14ac:dyDescent="0.3">
      <c r="A386" s="116"/>
      <c r="B386" s="116"/>
      <c r="C386" s="12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5.6" x14ac:dyDescent="0.3">
      <c r="A387" s="116"/>
      <c r="B387" s="116"/>
      <c r="C387" s="12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5.6" x14ac:dyDescent="0.3">
      <c r="A388" s="116"/>
      <c r="B388" s="116"/>
      <c r="C388" s="12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5.6" x14ac:dyDescent="0.3">
      <c r="A389" s="116"/>
      <c r="B389" s="116"/>
      <c r="C389" s="12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5.6" x14ac:dyDescent="0.3">
      <c r="A390" s="116"/>
      <c r="B390" s="116"/>
      <c r="C390" s="12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5.6" x14ac:dyDescent="0.3">
      <c r="A391" s="116"/>
      <c r="B391" s="116"/>
      <c r="C391" s="12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5.6" x14ac:dyDescent="0.3">
      <c r="A392" s="116"/>
      <c r="B392" s="116"/>
      <c r="C392" s="12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5.6" x14ac:dyDescent="0.3">
      <c r="A393" s="116"/>
      <c r="B393" s="116"/>
      <c r="C393" s="12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5.6" x14ac:dyDescent="0.3">
      <c r="A394" s="116"/>
      <c r="B394" s="116"/>
      <c r="C394" s="12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5.6" x14ac:dyDescent="0.3">
      <c r="A395" s="116"/>
      <c r="B395" s="116"/>
      <c r="C395" s="12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5.6" x14ac:dyDescent="0.3">
      <c r="A396" s="116"/>
      <c r="B396" s="116"/>
      <c r="C396" s="12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5.6" x14ac:dyDescent="0.3">
      <c r="A397" s="116"/>
      <c r="B397" s="116"/>
      <c r="C397" s="12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5.6" x14ac:dyDescent="0.3">
      <c r="A398" s="116"/>
      <c r="B398" s="116"/>
      <c r="C398" s="12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5.6" x14ac:dyDescent="0.3">
      <c r="A399" s="116"/>
      <c r="B399" s="116"/>
      <c r="C399" s="12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5.6" x14ac:dyDescent="0.3">
      <c r="A400" s="116"/>
      <c r="B400" s="116"/>
      <c r="C400" s="12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5.6" x14ac:dyDescent="0.3">
      <c r="A401" s="116"/>
      <c r="B401" s="116"/>
      <c r="C401" s="12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5.6" x14ac:dyDescent="0.3">
      <c r="A402" s="116"/>
      <c r="B402" s="116"/>
      <c r="C402" s="12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5.6" x14ac:dyDescent="0.3">
      <c r="A403" s="116"/>
      <c r="B403" s="116"/>
      <c r="C403" s="12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5.6" x14ac:dyDescent="0.3">
      <c r="A404" s="116"/>
      <c r="B404" s="116"/>
      <c r="C404" s="12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5.6" x14ac:dyDescent="0.3">
      <c r="A405" s="116"/>
      <c r="B405" s="116"/>
      <c r="C405" s="12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5.6" x14ac:dyDescent="0.3">
      <c r="A406" s="116"/>
      <c r="B406" s="116"/>
      <c r="C406" s="12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5.6" x14ac:dyDescent="0.3">
      <c r="A407" s="116"/>
      <c r="B407" s="116"/>
      <c r="C407" s="12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5.6" x14ac:dyDescent="0.3">
      <c r="A408" s="116"/>
      <c r="B408" s="116"/>
      <c r="C408" s="12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5.6" x14ac:dyDescent="0.3">
      <c r="A409" s="116"/>
      <c r="B409" s="116"/>
      <c r="C409" s="12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5.6" x14ac:dyDescent="0.3">
      <c r="A410" s="116"/>
      <c r="B410" s="116"/>
      <c r="C410" s="12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5.6" x14ac:dyDescent="0.3">
      <c r="A411" s="116"/>
      <c r="B411" s="116"/>
      <c r="C411" s="12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5.6" x14ac:dyDescent="0.3">
      <c r="A412" s="116"/>
      <c r="B412" s="116"/>
      <c r="C412" s="12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5.6" x14ac:dyDescent="0.3">
      <c r="A413" s="116"/>
      <c r="B413" s="116"/>
      <c r="C413" s="12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5.6" x14ac:dyDescent="0.3">
      <c r="A414" s="116"/>
      <c r="B414" s="116"/>
      <c r="C414" s="12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5.6" x14ac:dyDescent="0.3">
      <c r="A415" s="116"/>
      <c r="B415" s="116"/>
      <c r="C415" s="12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5.6" x14ac:dyDescent="0.3">
      <c r="A416" s="116"/>
      <c r="B416" s="116"/>
      <c r="C416" s="12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5.6" x14ac:dyDescent="0.3">
      <c r="A417" s="116"/>
      <c r="B417" s="116"/>
      <c r="C417" s="12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5.6" x14ac:dyDescent="0.3">
      <c r="A418" s="116"/>
      <c r="B418" s="116"/>
      <c r="C418" s="12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5.6" x14ac:dyDescent="0.3">
      <c r="A419" s="116"/>
      <c r="B419" s="116"/>
      <c r="C419" s="12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5.6" x14ac:dyDescent="0.3">
      <c r="A420" s="116"/>
      <c r="B420" s="116"/>
      <c r="C420" s="12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5.6" x14ac:dyDescent="0.3">
      <c r="A421" s="116"/>
      <c r="B421" s="116"/>
      <c r="C421" s="12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5.6" x14ac:dyDescent="0.3">
      <c r="A422" s="116"/>
      <c r="B422" s="116"/>
      <c r="C422" s="12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5.6" x14ac:dyDescent="0.3">
      <c r="A423" s="116"/>
      <c r="B423" s="116"/>
      <c r="C423" s="12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5.6" x14ac:dyDescent="0.3">
      <c r="A424" s="116"/>
      <c r="B424" s="116"/>
      <c r="C424" s="12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5.6" x14ac:dyDescent="0.3">
      <c r="A425" s="116"/>
      <c r="B425" s="116"/>
      <c r="C425" s="12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5.6" x14ac:dyDescent="0.3">
      <c r="A426" s="116"/>
      <c r="B426" s="116"/>
      <c r="C426" s="12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5.6" x14ac:dyDescent="0.3">
      <c r="A427" s="116"/>
      <c r="B427" s="116"/>
      <c r="C427" s="12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5.6" x14ac:dyDescent="0.3">
      <c r="A428" s="116"/>
      <c r="B428" s="116"/>
      <c r="C428" s="12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5.6" x14ac:dyDescent="0.3">
      <c r="A429" s="116"/>
      <c r="B429" s="116"/>
      <c r="C429" s="12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5.6" x14ac:dyDescent="0.3">
      <c r="A430" s="116"/>
      <c r="B430" s="116"/>
      <c r="C430" s="12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5.6" x14ac:dyDescent="0.3">
      <c r="A431" s="116"/>
      <c r="B431" s="116"/>
      <c r="C431" s="12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5.6" x14ac:dyDescent="0.3">
      <c r="A432" s="116"/>
      <c r="B432" s="116"/>
      <c r="C432" s="12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5.6" x14ac:dyDescent="0.3">
      <c r="A433" s="116"/>
      <c r="B433" s="116"/>
      <c r="C433" s="12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5.6" x14ac:dyDescent="0.3">
      <c r="A434" s="116"/>
      <c r="B434" s="116"/>
      <c r="C434" s="12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5.6" x14ac:dyDescent="0.3">
      <c r="A435" s="116"/>
      <c r="B435" s="116"/>
      <c r="C435" s="12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5.6" x14ac:dyDescent="0.3">
      <c r="A436" s="116"/>
      <c r="B436" s="116"/>
      <c r="C436" s="12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5.6" x14ac:dyDescent="0.3">
      <c r="A437" s="116"/>
      <c r="B437" s="116"/>
      <c r="C437" s="12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5.6" x14ac:dyDescent="0.3">
      <c r="A438" s="116"/>
      <c r="B438" s="116"/>
      <c r="C438" s="12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5.6" x14ac:dyDescent="0.3">
      <c r="A439" s="116"/>
      <c r="B439" s="116"/>
      <c r="C439" s="12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5.6" x14ac:dyDescent="0.3">
      <c r="A440" s="116"/>
      <c r="B440" s="116"/>
      <c r="C440" s="12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5.6" x14ac:dyDescent="0.3">
      <c r="A441" s="116"/>
      <c r="B441" s="116"/>
      <c r="C441" s="12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5.6" x14ac:dyDescent="0.3">
      <c r="A442" s="116"/>
      <c r="B442" s="116"/>
      <c r="C442" s="12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5.6" x14ac:dyDescent="0.3">
      <c r="A443" s="116"/>
      <c r="B443" s="116"/>
      <c r="C443" s="12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5.6" x14ac:dyDescent="0.3">
      <c r="A444" s="116"/>
      <c r="B444" s="116"/>
      <c r="C444" s="12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5.6" x14ac:dyDescent="0.3">
      <c r="A445" s="116"/>
      <c r="B445" s="116"/>
      <c r="C445" s="12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5.6" x14ac:dyDescent="0.3">
      <c r="A446" s="116"/>
      <c r="B446" s="116"/>
      <c r="C446" s="12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5.6" x14ac:dyDescent="0.3">
      <c r="A447" s="116"/>
      <c r="B447" s="116"/>
      <c r="C447" s="12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5.6" x14ac:dyDescent="0.3">
      <c r="A448" s="116"/>
      <c r="B448" s="116"/>
      <c r="C448" s="12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5.6" x14ac:dyDescent="0.3">
      <c r="A449" s="116"/>
      <c r="B449" s="116"/>
      <c r="C449" s="12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5.6" x14ac:dyDescent="0.3">
      <c r="A450" s="116"/>
      <c r="B450" s="116"/>
      <c r="C450" s="12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5.6" x14ac:dyDescent="0.3">
      <c r="A451" s="116"/>
      <c r="B451" s="116"/>
      <c r="C451" s="12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5.6" x14ac:dyDescent="0.3">
      <c r="A452" s="116"/>
      <c r="B452" s="116"/>
      <c r="C452" s="12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5.6" x14ac:dyDescent="0.3">
      <c r="A453" s="116"/>
      <c r="B453" s="116"/>
      <c r="C453" s="12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5.6" x14ac:dyDescent="0.3">
      <c r="A454" s="116"/>
      <c r="B454" s="116"/>
      <c r="C454" s="12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5.6" x14ac:dyDescent="0.3">
      <c r="A455" s="116"/>
      <c r="B455" s="116"/>
      <c r="C455" s="12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5.6" x14ac:dyDescent="0.3">
      <c r="A456" s="116"/>
      <c r="B456" s="116"/>
      <c r="C456" s="12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5.6" x14ac:dyDescent="0.3">
      <c r="A457" s="116"/>
      <c r="B457" s="116"/>
      <c r="C457" s="12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5.6" x14ac:dyDescent="0.3">
      <c r="A458" s="116"/>
      <c r="B458" s="116"/>
      <c r="C458" s="12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5.6" x14ac:dyDescent="0.3">
      <c r="A459" s="116"/>
      <c r="B459" s="116"/>
      <c r="C459" s="12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5.6" x14ac:dyDescent="0.3">
      <c r="A460" s="116"/>
      <c r="B460" s="116"/>
      <c r="C460" s="12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5.6" x14ac:dyDescent="0.3">
      <c r="A461" s="116"/>
      <c r="B461" s="116"/>
      <c r="C461" s="12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5.6" x14ac:dyDescent="0.3">
      <c r="A462" s="116"/>
      <c r="B462" s="116"/>
      <c r="C462" s="12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5.6" x14ac:dyDescent="0.3">
      <c r="A463" s="116"/>
      <c r="B463" s="116"/>
      <c r="C463" s="12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5.6" x14ac:dyDescent="0.3">
      <c r="A464" s="116"/>
      <c r="B464" s="116"/>
      <c r="C464" s="12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5.6" x14ac:dyDescent="0.3">
      <c r="A465" s="116"/>
      <c r="B465" s="116"/>
      <c r="C465" s="12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5.6" x14ac:dyDescent="0.3">
      <c r="A466" s="116"/>
      <c r="B466" s="116"/>
      <c r="C466" s="12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5.6" x14ac:dyDescent="0.3">
      <c r="A467" s="116"/>
      <c r="B467" s="116"/>
      <c r="C467" s="12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5.6" x14ac:dyDescent="0.3">
      <c r="A468" s="116"/>
      <c r="B468" s="116"/>
      <c r="C468" s="12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5.6" x14ac:dyDescent="0.3">
      <c r="A469" s="116"/>
      <c r="B469" s="116"/>
      <c r="C469" s="12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5.6" x14ac:dyDescent="0.3">
      <c r="A470" s="116"/>
      <c r="B470" s="116"/>
      <c r="C470" s="12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5.6" x14ac:dyDescent="0.3">
      <c r="A471" s="116"/>
      <c r="B471" s="116"/>
      <c r="C471" s="12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5.6" x14ac:dyDescent="0.3">
      <c r="A472" s="116"/>
      <c r="B472" s="116"/>
      <c r="C472" s="12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5.6" x14ac:dyDescent="0.3">
      <c r="A473" s="116"/>
      <c r="B473" s="116"/>
      <c r="C473" s="12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5.6" x14ac:dyDescent="0.3">
      <c r="A474" s="116"/>
      <c r="B474" s="116"/>
      <c r="C474" s="12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5.6" x14ac:dyDescent="0.3">
      <c r="A475" s="116"/>
      <c r="B475" s="116"/>
      <c r="C475" s="12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5.6" x14ac:dyDescent="0.3">
      <c r="A476" s="116"/>
      <c r="B476" s="116"/>
      <c r="C476" s="12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5.6" x14ac:dyDescent="0.3">
      <c r="A477" s="116"/>
      <c r="B477" s="116"/>
      <c r="C477" s="12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5.6" x14ac:dyDescent="0.3">
      <c r="A478" s="116"/>
      <c r="B478" s="116"/>
      <c r="C478" s="12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5.6" x14ac:dyDescent="0.3">
      <c r="A479" s="116"/>
      <c r="B479" s="116"/>
      <c r="C479" s="12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5.6" x14ac:dyDescent="0.3">
      <c r="A480" s="116"/>
      <c r="B480" s="116"/>
      <c r="C480" s="12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5.6" x14ac:dyDescent="0.3">
      <c r="A481" s="116"/>
      <c r="B481" s="116"/>
      <c r="C481" s="12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5.6" x14ac:dyDescent="0.3">
      <c r="A482" s="116"/>
      <c r="B482" s="116"/>
      <c r="C482" s="12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5.6" x14ac:dyDescent="0.3">
      <c r="A483" s="116"/>
      <c r="B483" s="116"/>
      <c r="C483" s="12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5.6" x14ac:dyDescent="0.3">
      <c r="A484" s="116"/>
      <c r="B484" s="116"/>
      <c r="C484" s="12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5.6" x14ac:dyDescent="0.3">
      <c r="A485" s="116"/>
      <c r="B485" s="116"/>
      <c r="C485" s="12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5.6" x14ac:dyDescent="0.3">
      <c r="A486" s="116"/>
      <c r="B486" s="116"/>
      <c r="C486" s="12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5.6" x14ac:dyDescent="0.3">
      <c r="A487" s="116"/>
      <c r="B487" s="116"/>
      <c r="C487" s="12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5.6" x14ac:dyDescent="0.3">
      <c r="A488" s="116"/>
      <c r="B488" s="116"/>
      <c r="C488" s="12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5.6" x14ac:dyDescent="0.3">
      <c r="A489" s="116"/>
      <c r="B489" s="116"/>
      <c r="C489" s="12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5.6" x14ac:dyDescent="0.3">
      <c r="A490" s="116"/>
      <c r="B490" s="116"/>
      <c r="C490" s="12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5.6" x14ac:dyDescent="0.3">
      <c r="A491" s="116"/>
      <c r="B491" s="116"/>
      <c r="C491" s="12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5.6" x14ac:dyDescent="0.3">
      <c r="A492" s="116"/>
      <c r="B492" s="116"/>
      <c r="C492" s="12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5.6" x14ac:dyDescent="0.3">
      <c r="A493" s="116"/>
      <c r="B493" s="116"/>
      <c r="C493" s="12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5.6" x14ac:dyDescent="0.3">
      <c r="A494" s="116"/>
      <c r="B494" s="116"/>
      <c r="C494" s="12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5.6" x14ac:dyDescent="0.3">
      <c r="A495" s="116"/>
      <c r="B495" s="116"/>
      <c r="C495" s="12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5.6" x14ac:dyDescent="0.3">
      <c r="A496" s="116"/>
      <c r="B496" s="116"/>
      <c r="C496" s="12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5.6" x14ac:dyDescent="0.3">
      <c r="A497" s="116"/>
      <c r="B497" s="116"/>
      <c r="C497" s="12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5.6" x14ac:dyDescent="0.3">
      <c r="A498" s="116"/>
      <c r="B498" s="116"/>
      <c r="C498" s="12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5.6" x14ac:dyDescent="0.3">
      <c r="A499" s="116"/>
      <c r="B499" s="116"/>
      <c r="C499" s="12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5.6" x14ac:dyDescent="0.3">
      <c r="A500" s="116"/>
      <c r="B500" s="116"/>
      <c r="C500" s="12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5.6" x14ac:dyDescent="0.3">
      <c r="A501" s="116"/>
      <c r="B501" s="116"/>
      <c r="C501" s="12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5.6" x14ac:dyDescent="0.3">
      <c r="A502" s="116"/>
      <c r="B502" s="116"/>
      <c r="C502" s="12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5.6" x14ac:dyDescent="0.3">
      <c r="A503" s="116"/>
      <c r="B503" s="116"/>
      <c r="C503" s="12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5.6" x14ac:dyDescent="0.3">
      <c r="A504" s="116"/>
      <c r="B504" s="116"/>
      <c r="C504" s="12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5.6" x14ac:dyDescent="0.3">
      <c r="A505" s="116"/>
      <c r="B505" s="116"/>
      <c r="C505" s="12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5.6" x14ac:dyDescent="0.3">
      <c r="A506" s="116"/>
      <c r="B506" s="116"/>
      <c r="C506" s="12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5.6" x14ac:dyDescent="0.3">
      <c r="A507" s="116"/>
      <c r="B507" s="116"/>
      <c r="C507" s="12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5.6" x14ac:dyDescent="0.3">
      <c r="A508" s="116"/>
      <c r="B508" s="116"/>
      <c r="C508" s="12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5.6" x14ac:dyDescent="0.3">
      <c r="A509" s="116"/>
      <c r="B509" s="116"/>
      <c r="C509" s="12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5.6" x14ac:dyDescent="0.3">
      <c r="A510" s="116"/>
      <c r="B510" s="116"/>
      <c r="C510" s="12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5.6" x14ac:dyDescent="0.3">
      <c r="A511" s="116"/>
      <c r="B511" s="116"/>
      <c r="C511" s="12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5.6" x14ac:dyDescent="0.3">
      <c r="A512" s="116"/>
      <c r="B512" s="116"/>
      <c r="C512" s="12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5.6" x14ac:dyDescent="0.3">
      <c r="A513" s="116"/>
      <c r="B513" s="116"/>
      <c r="C513" s="12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5.6" x14ac:dyDescent="0.3">
      <c r="A514" s="116"/>
      <c r="B514" s="116"/>
      <c r="C514" s="12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5.6" x14ac:dyDescent="0.3">
      <c r="A515" s="116"/>
      <c r="B515" s="116"/>
      <c r="C515" s="12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5.6" x14ac:dyDescent="0.3">
      <c r="A516" s="116"/>
      <c r="B516" s="116"/>
      <c r="C516" s="12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5.6" x14ac:dyDescent="0.3">
      <c r="A517" s="116"/>
      <c r="B517" s="116"/>
      <c r="C517" s="12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5.6" x14ac:dyDescent="0.3">
      <c r="A518" s="116"/>
      <c r="B518" s="116"/>
      <c r="C518" s="12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5.6" x14ac:dyDescent="0.3">
      <c r="A519" s="116"/>
      <c r="B519" s="116"/>
      <c r="C519" s="12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5.6" x14ac:dyDescent="0.3">
      <c r="A520" s="116"/>
      <c r="B520" s="116"/>
      <c r="C520" s="12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5.6" x14ac:dyDescent="0.3">
      <c r="A521" s="116"/>
      <c r="B521" s="116"/>
      <c r="C521" s="12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5.6" x14ac:dyDescent="0.3">
      <c r="A522" s="116"/>
      <c r="B522" s="116"/>
      <c r="C522" s="12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5.6" x14ac:dyDescent="0.3">
      <c r="A523" s="116"/>
      <c r="B523" s="116"/>
      <c r="C523" s="12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5.6" x14ac:dyDescent="0.3">
      <c r="A524" s="116"/>
      <c r="B524" s="116"/>
      <c r="C524" s="12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5.6" x14ac:dyDescent="0.3">
      <c r="A525" s="116"/>
      <c r="B525" s="116"/>
      <c r="C525" s="12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5.6" x14ac:dyDescent="0.3">
      <c r="A526" s="116"/>
      <c r="B526" s="116"/>
      <c r="C526" s="12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5.6" x14ac:dyDescent="0.3">
      <c r="A527" s="116"/>
      <c r="B527" s="116"/>
      <c r="C527" s="12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5.6" x14ac:dyDescent="0.3">
      <c r="A528" s="116"/>
      <c r="B528" s="116"/>
      <c r="C528" s="12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5.6" x14ac:dyDescent="0.3">
      <c r="A529" s="116"/>
      <c r="B529" s="116"/>
      <c r="C529" s="12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5.6" x14ac:dyDescent="0.3">
      <c r="A530" s="116"/>
      <c r="B530" s="116"/>
      <c r="C530" s="12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5.6" x14ac:dyDescent="0.3">
      <c r="A531" s="116"/>
      <c r="B531" s="116"/>
      <c r="C531" s="12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5.6" x14ac:dyDescent="0.3">
      <c r="A532" s="116"/>
      <c r="B532" s="116"/>
      <c r="C532" s="12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5.6" x14ac:dyDescent="0.3">
      <c r="A533" s="116"/>
      <c r="B533" s="116"/>
      <c r="C533" s="12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5.6" x14ac:dyDescent="0.3">
      <c r="A534" s="116"/>
      <c r="B534" s="116"/>
      <c r="C534" s="12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5.6" x14ac:dyDescent="0.3">
      <c r="A535" s="116"/>
      <c r="B535" s="116"/>
      <c r="C535" s="12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5.6" x14ac:dyDescent="0.3">
      <c r="A536" s="116"/>
      <c r="B536" s="116"/>
      <c r="C536" s="12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5.6" x14ac:dyDescent="0.3">
      <c r="A537" s="116"/>
      <c r="B537" s="116"/>
      <c r="C537" s="12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5.6" x14ac:dyDescent="0.3">
      <c r="A538" s="116"/>
      <c r="B538" s="116"/>
      <c r="C538" s="12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5.6" x14ac:dyDescent="0.3">
      <c r="A539" s="116"/>
      <c r="B539" s="116"/>
      <c r="C539" s="12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5.6" x14ac:dyDescent="0.3">
      <c r="A540" s="116"/>
      <c r="B540" s="116"/>
      <c r="C540" s="12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5.6" x14ac:dyDescent="0.3">
      <c r="A541" s="116"/>
      <c r="B541" s="116"/>
      <c r="C541" s="12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5.6" x14ac:dyDescent="0.3">
      <c r="A542" s="116"/>
      <c r="B542" s="116"/>
      <c r="C542" s="12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5.6" x14ac:dyDescent="0.3">
      <c r="A543" s="116"/>
      <c r="B543" s="116"/>
      <c r="C543" s="12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5.6" x14ac:dyDescent="0.3">
      <c r="A544" s="116"/>
      <c r="B544" s="116"/>
      <c r="C544" s="12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5.6" x14ac:dyDescent="0.3">
      <c r="A545" s="116"/>
      <c r="B545" s="116"/>
      <c r="C545" s="12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5.6" x14ac:dyDescent="0.3">
      <c r="A546" s="116"/>
      <c r="B546" s="116"/>
      <c r="C546" s="12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5.6" x14ac:dyDescent="0.3">
      <c r="A547" s="116"/>
      <c r="B547" s="116"/>
      <c r="C547" s="12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5.6" x14ac:dyDescent="0.3">
      <c r="A548" s="116"/>
      <c r="B548" s="116"/>
      <c r="C548" s="12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5.6" x14ac:dyDescent="0.3">
      <c r="A549" s="116"/>
      <c r="B549" s="116"/>
      <c r="C549" s="12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5.6" x14ac:dyDescent="0.3">
      <c r="A550" s="116"/>
      <c r="B550" s="116"/>
      <c r="C550" s="12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5.6" x14ac:dyDescent="0.3">
      <c r="A551" s="116"/>
      <c r="B551" s="116"/>
      <c r="C551" s="12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5.6" x14ac:dyDescent="0.3">
      <c r="A552" s="116"/>
      <c r="B552" s="116"/>
      <c r="C552" s="12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5.6" x14ac:dyDescent="0.3">
      <c r="A553" s="116"/>
      <c r="B553" s="116"/>
      <c r="C553" s="12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5.6" x14ac:dyDescent="0.3">
      <c r="A554" s="116"/>
      <c r="B554" s="116"/>
      <c r="C554" s="12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5.6" x14ac:dyDescent="0.3">
      <c r="A555" s="116"/>
      <c r="B555" s="116"/>
      <c r="C555" s="12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5.6" x14ac:dyDescent="0.3">
      <c r="A556" s="116"/>
      <c r="B556" s="116"/>
      <c r="C556" s="12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5.6" x14ac:dyDescent="0.3">
      <c r="A557" s="116"/>
      <c r="B557" s="116"/>
      <c r="C557" s="12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5.6" x14ac:dyDescent="0.3">
      <c r="A558" s="116"/>
      <c r="B558" s="116"/>
      <c r="C558" s="12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5.6" x14ac:dyDescent="0.3">
      <c r="A559" s="116"/>
      <c r="B559" s="116"/>
      <c r="C559" s="12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5.6" x14ac:dyDescent="0.3">
      <c r="A560" s="116"/>
      <c r="B560" s="116"/>
      <c r="C560" s="12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5.6" x14ac:dyDescent="0.3">
      <c r="A561" s="116"/>
      <c r="B561" s="116"/>
      <c r="C561" s="12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5.6" x14ac:dyDescent="0.3">
      <c r="A562" s="116"/>
      <c r="B562" s="116"/>
      <c r="C562" s="12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5.6" x14ac:dyDescent="0.3">
      <c r="A563" s="116"/>
      <c r="B563" s="116"/>
      <c r="C563" s="12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5.6" x14ac:dyDescent="0.3">
      <c r="A564" s="116"/>
      <c r="B564" s="116"/>
      <c r="C564" s="12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5.6" x14ac:dyDescent="0.3">
      <c r="A565" s="116"/>
      <c r="B565" s="116"/>
      <c r="C565" s="12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5.6" x14ac:dyDescent="0.3">
      <c r="A566" s="116"/>
      <c r="B566" s="116"/>
      <c r="C566" s="12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5.6" x14ac:dyDescent="0.3">
      <c r="A567" s="116"/>
      <c r="B567" s="116"/>
      <c r="C567" s="12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5.6" x14ac:dyDescent="0.3">
      <c r="A568" s="116"/>
      <c r="B568" s="116"/>
      <c r="C568" s="12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5.6" x14ac:dyDescent="0.3">
      <c r="A569" s="116"/>
      <c r="B569" s="116"/>
      <c r="C569" s="12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5.6" x14ac:dyDescent="0.3">
      <c r="A570" s="116"/>
      <c r="B570" s="116"/>
      <c r="C570" s="12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5.6" x14ac:dyDescent="0.3">
      <c r="A571" s="116"/>
      <c r="B571" s="116"/>
      <c r="C571" s="12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5.6" x14ac:dyDescent="0.3">
      <c r="A572" s="116"/>
      <c r="B572" s="116"/>
      <c r="C572" s="12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5.6" x14ac:dyDescent="0.3">
      <c r="A573" s="116"/>
      <c r="B573" s="116"/>
      <c r="C573" s="12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5.6" x14ac:dyDescent="0.3">
      <c r="A574" s="116"/>
      <c r="B574" s="116"/>
      <c r="C574" s="12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5.6" x14ac:dyDescent="0.3">
      <c r="A575" s="116"/>
      <c r="B575" s="116"/>
      <c r="C575" s="12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5.6" x14ac:dyDescent="0.3">
      <c r="A576" s="116"/>
      <c r="B576" s="116"/>
      <c r="C576" s="12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5.6" x14ac:dyDescent="0.3">
      <c r="A577" s="116"/>
      <c r="B577" s="116"/>
      <c r="C577" s="12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5.6" x14ac:dyDescent="0.3">
      <c r="A578" s="116"/>
      <c r="B578" s="116"/>
      <c r="C578" s="12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5.6" x14ac:dyDescent="0.3">
      <c r="A579" s="116"/>
      <c r="B579" s="116"/>
      <c r="C579" s="12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5.6" x14ac:dyDescent="0.3">
      <c r="A580" s="116"/>
      <c r="B580" s="116"/>
      <c r="C580" s="12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5.6" x14ac:dyDescent="0.3">
      <c r="A581" s="116"/>
      <c r="B581" s="116"/>
      <c r="C581" s="12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5.6" x14ac:dyDescent="0.3">
      <c r="A582" s="116"/>
      <c r="B582" s="116"/>
      <c r="C582" s="12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5.6" x14ac:dyDescent="0.3">
      <c r="A583" s="116"/>
      <c r="B583" s="116"/>
      <c r="C583" s="12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5.6" x14ac:dyDescent="0.3">
      <c r="A584" s="116"/>
      <c r="B584" s="116"/>
      <c r="C584" s="12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5.6" x14ac:dyDescent="0.3">
      <c r="A585" s="116"/>
      <c r="B585" s="116"/>
      <c r="C585" s="12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5.6" x14ac:dyDescent="0.3">
      <c r="A586" s="116"/>
      <c r="B586" s="116"/>
      <c r="C586" s="12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5.6" x14ac:dyDescent="0.3">
      <c r="A587" s="116"/>
      <c r="B587" s="116"/>
      <c r="C587" s="12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5.6" x14ac:dyDescent="0.3">
      <c r="A588" s="116"/>
      <c r="B588" s="116"/>
      <c r="C588" s="12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5.6" x14ac:dyDescent="0.3">
      <c r="A589" s="116"/>
      <c r="B589" s="116"/>
      <c r="C589" s="12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5.6" x14ac:dyDescent="0.3">
      <c r="A590" s="116"/>
      <c r="B590" s="116"/>
      <c r="C590" s="12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5.6" x14ac:dyDescent="0.3">
      <c r="A591" s="116"/>
      <c r="B591" s="116"/>
      <c r="C591" s="12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5.6" x14ac:dyDescent="0.3">
      <c r="A592" s="116"/>
      <c r="B592" s="116"/>
      <c r="C592" s="12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5.6" x14ac:dyDescent="0.3">
      <c r="A593" s="116"/>
      <c r="B593" s="116"/>
      <c r="C593" s="12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5.6" x14ac:dyDescent="0.3">
      <c r="A594" s="116"/>
      <c r="B594" s="116"/>
      <c r="C594" s="12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5.6" x14ac:dyDescent="0.3">
      <c r="A595" s="116"/>
      <c r="B595" s="116"/>
      <c r="C595" s="12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5.6" x14ac:dyDescent="0.3">
      <c r="A596" s="116"/>
      <c r="B596" s="116"/>
      <c r="C596" s="12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5.6" x14ac:dyDescent="0.3">
      <c r="A597" s="116"/>
      <c r="B597" s="116"/>
      <c r="C597" s="12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5.6" x14ac:dyDescent="0.3">
      <c r="A598" s="116"/>
      <c r="B598" s="116"/>
      <c r="C598" s="12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5.6" x14ac:dyDescent="0.3">
      <c r="A599" s="116"/>
      <c r="B599" s="116"/>
      <c r="C599" s="12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5.6" x14ac:dyDescent="0.3">
      <c r="A600" s="116"/>
      <c r="B600" s="116"/>
      <c r="C600" s="12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5.6" x14ac:dyDescent="0.3">
      <c r="A601" s="116"/>
      <c r="B601" s="116"/>
      <c r="C601" s="12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5.6" x14ac:dyDescent="0.3">
      <c r="A602" s="116"/>
      <c r="B602" s="116"/>
      <c r="C602" s="12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5.6" x14ac:dyDescent="0.3">
      <c r="A603" s="116"/>
      <c r="B603" s="116"/>
      <c r="C603" s="12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5.6" x14ac:dyDescent="0.3">
      <c r="A604" s="116"/>
      <c r="B604" s="116"/>
      <c r="C604" s="12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5.6" x14ac:dyDescent="0.3">
      <c r="A605" s="116"/>
      <c r="B605" s="116"/>
      <c r="C605" s="12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5.6" x14ac:dyDescent="0.3">
      <c r="A606" s="116"/>
      <c r="B606" s="116"/>
      <c r="C606" s="12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5.6" x14ac:dyDescent="0.3">
      <c r="A607" s="116"/>
      <c r="B607" s="116"/>
      <c r="C607" s="12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5.6" x14ac:dyDescent="0.3">
      <c r="A608" s="116"/>
      <c r="B608" s="116"/>
      <c r="C608" s="12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5.6" x14ac:dyDescent="0.3">
      <c r="A609" s="116"/>
      <c r="B609" s="116"/>
      <c r="C609" s="12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5.6" x14ac:dyDescent="0.3">
      <c r="A610" s="116"/>
      <c r="B610" s="116"/>
      <c r="C610" s="12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5.6" x14ac:dyDescent="0.3">
      <c r="A611" s="116"/>
      <c r="B611" s="116"/>
      <c r="C611" s="12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5.6" x14ac:dyDescent="0.3">
      <c r="A612" s="116"/>
      <c r="B612" s="116"/>
      <c r="C612" s="12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5.6" x14ac:dyDescent="0.3">
      <c r="A613" s="116"/>
      <c r="B613" s="116"/>
      <c r="C613" s="12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5.6" x14ac:dyDescent="0.3">
      <c r="A614" s="116"/>
      <c r="B614" s="116"/>
      <c r="C614" s="12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5.6" x14ac:dyDescent="0.3">
      <c r="A615" s="116"/>
      <c r="B615" s="116"/>
      <c r="C615" s="12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5.6" x14ac:dyDescent="0.3">
      <c r="A616" s="116"/>
      <c r="B616" s="116"/>
      <c r="C616" s="12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5.6" x14ac:dyDescent="0.3">
      <c r="A617" s="116"/>
      <c r="B617" s="116"/>
      <c r="C617" s="12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5.6" x14ac:dyDescent="0.3">
      <c r="A618" s="116"/>
      <c r="B618" s="116"/>
      <c r="C618" s="12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5.6" x14ac:dyDescent="0.3">
      <c r="A619" s="116"/>
      <c r="B619" s="116"/>
      <c r="C619" s="12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5.6" x14ac:dyDescent="0.3">
      <c r="A620" s="116"/>
      <c r="B620" s="116"/>
      <c r="C620" s="12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5.6" x14ac:dyDescent="0.3">
      <c r="A621" s="116"/>
      <c r="B621" s="116"/>
      <c r="C621" s="12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5.6" x14ac:dyDescent="0.3">
      <c r="A622" s="116"/>
      <c r="B622" s="116"/>
      <c r="C622" s="12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5.6" x14ac:dyDescent="0.3">
      <c r="A623" s="116"/>
      <c r="B623" s="116"/>
      <c r="C623" s="12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5.6" x14ac:dyDescent="0.3">
      <c r="A624" s="116"/>
      <c r="B624" s="116"/>
      <c r="C624" s="12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5.6" x14ac:dyDescent="0.3">
      <c r="A625" s="116"/>
      <c r="B625" s="116"/>
      <c r="C625" s="12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5.6" x14ac:dyDescent="0.3">
      <c r="A626" s="116"/>
      <c r="B626" s="116"/>
      <c r="C626" s="12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5.6" x14ac:dyDescent="0.3">
      <c r="A627" s="116"/>
      <c r="B627" s="116"/>
      <c r="C627" s="12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5.6" x14ac:dyDescent="0.3">
      <c r="A628" s="116"/>
      <c r="B628" s="116"/>
      <c r="C628" s="12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5.6" x14ac:dyDescent="0.3">
      <c r="A629" s="116"/>
      <c r="B629" s="116"/>
      <c r="C629" s="12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5.6" x14ac:dyDescent="0.3">
      <c r="A630" s="116"/>
      <c r="B630" s="116"/>
      <c r="C630" s="12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5.6" x14ac:dyDescent="0.3">
      <c r="A631" s="116"/>
      <c r="B631" s="116"/>
      <c r="C631" s="12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5.6" x14ac:dyDescent="0.3">
      <c r="A632" s="116"/>
      <c r="B632" s="116"/>
      <c r="C632" s="12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5.6" x14ac:dyDescent="0.3">
      <c r="A633" s="116"/>
      <c r="B633" s="116"/>
      <c r="C633" s="12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5.6" x14ac:dyDescent="0.3">
      <c r="A634" s="116"/>
      <c r="B634" s="116"/>
      <c r="C634" s="12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5.6" x14ac:dyDescent="0.3">
      <c r="A635" s="116"/>
      <c r="B635" s="116"/>
      <c r="C635" s="12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5.6" x14ac:dyDescent="0.3">
      <c r="A636" s="116"/>
      <c r="B636" s="116"/>
      <c r="C636" s="12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5.6" x14ac:dyDescent="0.3">
      <c r="A637" s="116"/>
      <c r="B637" s="116"/>
      <c r="C637" s="12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5.6" x14ac:dyDescent="0.3">
      <c r="A638" s="116"/>
      <c r="B638" s="116"/>
      <c r="C638" s="12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5.6" x14ac:dyDescent="0.3">
      <c r="A639" s="116"/>
      <c r="B639" s="116"/>
      <c r="C639" s="12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5.6" x14ac:dyDescent="0.3">
      <c r="A640" s="116"/>
      <c r="B640" s="116"/>
      <c r="C640" s="12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5.6" x14ac:dyDescent="0.3">
      <c r="A641" s="116"/>
      <c r="B641" s="116"/>
      <c r="C641" s="12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5.6" x14ac:dyDescent="0.3">
      <c r="A642" s="116"/>
      <c r="B642" s="116"/>
      <c r="C642" s="12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5.6" x14ac:dyDescent="0.3">
      <c r="A643" s="116"/>
      <c r="B643" s="116"/>
      <c r="C643" s="12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5.6" x14ac:dyDescent="0.3">
      <c r="A644" s="116"/>
      <c r="B644" s="116"/>
      <c r="C644" s="12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5.6" x14ac:dyDescent="0.3">
      <c r="A645" s="116"/>
      <c r="B645" s="116"/>
      <c r="C645" s="12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5.6" x14ac:dyDescent="0.3">
      <c r="A646" s="116"/>
      <c r="B646" s="116"/>
      <c r="C646" s="12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5.6" x14ac:dyDescent="0.3">
      <c r="A647" s="116"/>
      <c r="B647" s="116"/>
      <c r="C647" s="12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5.6" x14ac:dyDescent="0.3">
      <c r="A648" s="116"/>
      <c r="B648" s="116"/>
      <c r="C648" s="12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5.6" x14ac:dyDescent="0.3">
      <c r="A649" s="116"/>
      <c r="B649" s="116"/>
      <c r="C649" s="12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5.6" x14ac:dyDescent="0.3">
      <c r="A650" s="116"/>
      <c r="B650" s="116"/>
      <c r="C650" s="12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5.6" x14ac:dyDescent="0.3">
      <c r="A651" s="116"/>
      <c r="B651" s="116"/>
      <c r="C651" s="12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5.6" x14ac:dyDescent="0.3">
      <c r="A652" s="116"/>
      <c r="B652" s="116"/>
      <c r="C652" s="12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5.6" x14ac:dyDescent="0.3">
      <c r="A653" s="116"/>
      <c r="B653" s="116"/>
      <c r="C653" s="12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5.6" x14ac:dyDescent="0.3">
      <c r="A654" s="116"/>
      <c r="B654" s="116"/>
      <c r="C654" s="12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5.6" x14ac:dyDescent="0.3">
      <c r="A655" s="116"/>
      <c r="B655" s="116"/>
      <c r="C655" s="12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5.6" x14ac:dyDescent="0.3">
      <c r="A656" s="116"/>
      <c r="B656" s="116"/>
      <c r="C656" s="12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5.6" x14ac:dyDescent="0.3">
      <c r="A657" s="116"/>
      <c r="B657" s="116"/>
      <c r="C657" s="12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5.6" x14ac:dyDescent="0.3">
      <c r="A658" s="116"/>
      <c r="B658" s="116"/>
      <c r="C658" s="12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5.6" x14ac:dyDescent="0.3">
      <c r="A659" s="116"/>
      <c r="B659" s="116"/>
      <c r="C659" s="12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5.6" x14ac:dyDescent="0.3">
      <c r="A660" s="116"/>
      <c r="B660" s="116"/>
      <c r="C660" s="12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5.6" x14ac:dyDescent="0.3">
      <c r="A661" s="116"/>
      <c r="B661" s="116"/>
      <c r="C661" s="12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5.6" x14ac:dyDescent="0.3">
      <c r="A662" s="116"/>
      <c r="B662" s="116"/>
      <c r="C662" s="12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5.6" x14ac:dyDescent="0.3">
      <c r="A663" s="116"/>
      <c r="B663" s="116"/>
      <c r="C663" s="12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5.6" x14ac:dyDescent="0.3">
      <c r="A664" s="116"/>
      <c r="B664" s="116"/>
      <c r="C664" s="12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5.6" x14ac:dyDescent="0.3">
      <c r="A665" s="116"/>
      <c r="B665" s="116"/>
      <c r="C665" s="12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5.6" x14ac:dyDescent="0.3">
      <c r="A666" s="116"/>
      <c r="B666" s="116"/>
      <c r="C666" s="12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5.6" x14ac:dyDescent="0.3">
      <c r="A667" s="116"/>
      <c r="B667" s="116"/>
      <c r="C667" s="12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5.6" x14ac:dyDescent="0.3">
      <c r="A668" s="116"/>
      <c r="B668" s="116"/>
      <c r="C668" s="12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5.6" x14ac:dyDescent="0.3">
      <c r="A669" s="116"/>
      <c r="B669" s="116"/>
      <c r="C669" s="12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5.6" x14ac:dyDescent="0.3">
      <c r="A670" s="116"/>
      <c r="B670" s="116"/>
      <c r="C670" s="12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5.6" x14ac:dyDescent="0.3">
      <c r="A671" s="116"/>
      <c r="B671" s="116"/>
      <c r="C671" s="12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5.6" x14ac:dyDescent="0.3">
      <c r="A672" s="116"/>
      <c r="B672" s="116"/>
      <c r="C672" s="12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5.6" x14ac:dyDescent="0.3">
      <c r="A673" s="116"/>
      <c r="B673" s="116"/>
      <c r="C673" s="12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5.6" x14ac:dyDescent="0.3">
      <c r="A674" s="116"/>
      <c r="B674" s="116"/>
      <c r="C674" s="12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5.6" x14ac:dyDescent="0.3">
      <c r="A675" s="116"/>
      <c r="B675" s="116"/>
      <c r="C675" s="12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5.6" x14ac:dyDescent="0.3">
      <c r="A676" s="116"/>
      <c r="B676" s="116"/>
      <c r="C676" s="12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5.6" x14ac:dyDescent="0.3">
      <c r="A677" s="116"/>
      <c r="B677" s="116"/>
      <c r="C677" s="12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5.6" x14ac:dyDescent="0.3">
      <c r="A678" s="116"/>
      <c r="B678" s="116"/>
      <c r="C678" s="12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5.6" x14ac:dyDescent="0.3">
      <c r="A679" s="116"/>
      <c r="B679" s="116"/>
      <c r="C679" s="12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5.6" x14ac:dyDescent="0.3">
      <c r="A680" s="116"/>
      <c r="B680" s="116"/>
      <c r="C680" s="12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5.6" x14ac:dyDescent="0.3">
      <c r="A681" s="116"/>
      <c r="B681" s="116"/>
      <c r="C681" s="12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5.6" x14ac:dyDescent="0.3">
      <c r="A682" s="116"/>
      <c r="B682" s="116"/>
      <c r="C682" s="12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5.6" x14ac:dyDescent="0.3">
      <c r="A683" s="116"/>
      <c r="B683" s="116"/>
      <c r="C683" s="12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5.6" x14ac:dyDescent="0.3">
      <c r="A684" s="116"/>
      <c r="B684" s="116"/>
      <c r="C684" s="12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5.6" x14ac:dyDescent="0.3">
      <c r="A685" s="116"/>
      <c r="B685" s="116"/>
      <c r="C685" s="12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5.6" x14ac:dyDescent="0.3">
      <c r="A686" s="116"/>
      <c r="B686" s="116"/>
      <c r="C686" s="12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5.6" x14ac:dyDescent="0.3">
      <c r="A687" s="116"/>
      <c r="B687" s="116"/>
      <c r="C687" s="12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5.6" x14ac:dyDescent="0.3">
      <c r="A688" s="116"/>
      <c r="B688" s="116"/>
      <c r="C688" s="12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5.6" x14ac:dyDescent="0.3">
      <c r="A689" s="116"/>
      <c r="B689" s="116"/>
      <c r="C689" s="12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5.6" x14ac:dyDescent="0.3">
      <c r="A690" s="116"/>
      <c r="B690" s="116"/>
      <c r="C690" s="12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5.6" x14ac:dyDescent="0.3">
      <c r="A691" s="116"/>
      <c r="B691" s="116"/>
      <c r="C691" s="12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5.6" x14ac:dyDescent="0.3">
      <c r="A692" s="116"/>
      <c r="B692" s="116"/>
      <c r="C692" s="12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5.6" x14ac:dyDescent="0.3">
      <c r="A693" s="116"/>
      <c r="B693" s="116"/>
      <c r="C693" s="12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5.6" x14ac:dyDescent="0.3">
      <c r="A694" s="116"/>
      <c r="B694" s="116"/>
      <c r="C694" s="12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5.6" x14ac:dyDescent="0.3">
      <c r="A695" s="116"/>
      <c r="B695" s="116"/>
      <c r="C695" s="12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5.6" x14ac:dyDescent="0.3">
      <c r="A696" s="116"/>
      <c r="B696" s="116"/>
      <c r="C696" s="12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5.6" x14ac:dyDescent="0.3">
      <c r="A697" s="116"/>
      <c r="B697" s="116"/>
      <c r="C697" s="12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5.6" x14ac:dyDescent="0.3">
      <c r="A698" s="116"/>
      <c r="B698" s="116"/>
      <c r="C698" s="12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5.6" x14ac:dyDescent="0.3">
      <c r="A699" s="116"/>
      <c r="B699" s="116"/>
      <c r="C699" s="12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5.6" x14ac:dyDescent="0.3">
      <c r="A700" s="116"/>
      <c r="B700" s="116"/>
      <c r="C700" s="12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5.6" x14ac:dyDescent="0.3">
      <c r="A701" s="116"/>
      <c r="B701" s="116"/>
      <c r="C701" s="12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5.6" x14ac:dyDescent="0.3">
      <c r="A702" s="116"/>
      <c r="B702" s="116"/>
      <c r="C702" s="12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5.6" x14ac:dyDescent="0.3">
      <c r="A703" s="116"/>
      <c r="B703" s="116"/>
      <c r="C703" s="12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5.6" x14ac:dyDescent="0.3">
      <c r="A704" s="116"/>
      <c r="B704" s="116"/>
      <c r="C704" s="12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5.6" x14ac:dyDescent="0.3">
      <c r="A705" s="116"/>
      <c r="B705" s="116"/>
      <c r="C705" s="12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5.6" x14ac:dyDescent="0.3">
      <c r="A706" s="116"/>
      <c r="B706" s="116"/>
      <c r="C706" s="12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5.6" x14ac:dyDescent="0.3">
      <c r="A707" s="116"/>
      <c r="B707" s="116"/>
      <c r="C707" s="12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5.6" x14ac:dyDescent="0.3">
      <c r="A708" s="116"/>
      <c r="B708" s="116"/>
      <c r="C708" s="12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5.6" x14ac:dyDescent="0.3">
      <c r="A709" s="116"/>
      <c r="B709" s="116"/>
      <c r="C709" s="12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5.6" x14ac:dyDescent="0.3">
      <c r="A710" s="116"/>
      <c r="B710" s="116"/>
      <c r="C710" s="12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5.6" x14ac:dyDescent="0.3">
      <c r="A711" s="116"/>
      <c r="B711" s="116"/>
      <c r="C711" s="12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5.6" x14ac:dyDescent="0.3">
      <c r="A712" s="116"/>
      <c r="B712" s="116"/>
      <c r="C712" s="12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5.6" x14ac:dyDescent="0.3">
      <c r="A713" s="116"/>
      <c r="B713" s="116"/>
      <c r="C713" s="12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5.6" x14ac:dyDescent="0.3">
      <c r="A714" s="116"/>
      <c r="B714" s="116"/>
      <c r="C714" s="12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5.6" x14ac:dyDescent="0.3">
      <c r="A715" s="116"/>
      <c r="B715" s="116"/>
      <c r="C715" s="12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5.6" x14ac:dyDescent="0.3">
      <c r="A716" s="116"/>
      <c r="B716" s="116"/>
      <c r="C716" s="12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5.6" x14ac:dyDescent="0.3">
      <c r="A717" s="116"/>
      <c r="B717" s="116"/>
      <c r="C717" s="12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5.6" x14ac:dyDescent="0.3">
      <c r="A718" s="116"/>
      <c r="B718" s="116"/>
      <c r="C718" s="12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5.6" x14ac:dyDescent="0.3">
      <c r="A719" s="116"/>
      <c r="B719" s="116"/>
      <c r="C719" s="12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5.6" x14ac:dyDescent="0.3">
      <c r="A720" s="116"/>
      <c r="B720" s="116"/>
      <c r="C720" s="12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5.6" x14ac:dyDescent="0.3">
      <c r="A721" s="116"/>
      <c r="B721" s="116"/>
      <c r="C721" s="12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5.6" x14ac:dyDescent="0.3">
      <c r="A722" s="116"/>
      <c r="B722" s="116"/>
      <c r="C722" s="12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5.6" x14ac:dyDescent="0.3">
      <c r="A723" s="116"/>
      <c r="B723" s="116"/>
      <c r="C723" s="12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5.6" x14ac:dyDescent="0.3">
      <c r="A724" s="116"/>
      <c r="B724" s="116"/>
      <c r="C724" s="12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5.6" x14ac:dyDescent="0.3">
      <c r="A725" s="116"/>
      <c r="B725" s="116"/>
      <c r="C725" s="12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5.6" x14ac:dyDescent="0.3">
      <c r="A726" s="116"/>
      <c r="B726" s="116"/>
      <c r="C726" s="12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5.6" x14ac:dyDescent="0.3">
      <c r="A727" s="116"/>
      <c r="B727" s="116"/>
      <c r="C727" s="12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5.6" x14ac:dyDescent="0.3">
      <c r="A728" s="116"/>
      <c r="B728" s="116"/>
      <c r="C728" s="12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5.6" x14ac:dyDescent="0.3">
      <c r="A729" s="116"/>
      <c r="B729" s="116"/>
      <c r="C729" s="12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5.6" x14ac:dyDescent="0.3">
      <c r="A730" s="116"/>
      <c r="B730" s="116"/>
      <c r="C730" s="12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5.6" x14ac:dyDescent="0.3">
      <c r="A731" s="116"/>
      <c r="B731" s="116"/>
      <c r="C731" s="12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5.6" x14ac:dyDescent="0.3">
      <c r="A732" s="116"/>
      <c r="B732" s="116"/>
      <c r="C732" s="12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5.6" x14ac:dyDescent="0.3">
      <c r="A733" s="116"/>
      <c r="B733" s="116"/>
      <c r="C733" s="12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5.6" x14ac:dyDescent="0.3">
      <c r="A734" s="116"/>
      <c r="B734" s="116"/>
      <c r="C734" s="12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5.6" x14ac:dyDescent="0.3">
      <c r="A735" s="116"/>
      <c r="B735" s="116"/>
      <c r="C735" s="12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5.6" x14ac:dyDescent="0.3">
      <c r="A736" s="116"/>
      <c r="B736" s="116"/>
      <c r="C736" s="12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5.6" x14ac:dyDescent="0.3">
      <c r="A737" s="116"/>
      <c r="B737" s="116"/>
      <c r="C737" s="12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5.6" x14ac:dyDescent="0.3">
      <c r="A738" s="116"/>
      <c r="B738" s="116"/>
      <c r="C738" s="12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5.6" x14ac:dyDescent="0.3">
      <c r="A739" s="116"/>
      <c r="B739" s="116"/>
      <c r="C739" s="12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5.6" x14ac:dyDescent="0.3">
      <c r="A740" s="116"/>
      <c r="B740" s="116"/>
      <c r="C740" s="12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5.6" x14ac:dyDescent="0.3">
      <c r="A741" s="116"/>
      <c r="B741" s="116"/>
      <c r="C741" s="12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5.6" x14ac:dyDescent="0.3">
      <c r="A742" s="116"/>
      <c r="B742" s="116"/>
      <c r="C742" s="12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5.6" x14ac:dyDescent="0.3">
      <c r="A743" s="116"/>
      <c r="B743" s="116"/>
      <c r="C743" s="12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5.6" x14ac:dyDescent="0.3">
      <c r="A744" s="116"/>
      <c r="B744" s="116"/>
      <c r="C744" s="12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5.6" x14ac:dyDescent="0.3">
      <c r="A745" s="116"/>
      <c r="B745" s="116"/>
      <c r="C745" s="12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5.6" x14ac:dyDescent="0.3">
      <c r="A746" s="116"/>
      <c r="B746" s="116"/>
      <c r="C746" s="12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5.6" x14ac:dyDescent="0.3">
      <c r="A747" s="116"/>
      <c r="B747" s="116"/>
      <c r="C747" s="12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5.6" x14ac:dyDescent="0.3">
      <c r="A748" s="116"/>
      <c r="B748" s="116"/>
      <c r="C748" s="12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5.6" x14ac:dyDescent="0.3">
      <c r="A749" s="116"/>
      <c r="B749" s="116"/>
      <c r="C749" s="12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5.6" x14ac:dyDescent="0.3">
      <c r="A750" s="116"/>
      <c r="B750" s="116"/>
      <c r="C750" s="12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5.6" x14ac:dyDescent="0.3">
      <c r="A751" s="116"/>
      <c r="B751" s="116"/>
      <c r="C751" s="12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5.6" x14ac:dyDescent="0.3">
      <c r="A752" s="116"/>
      <c r="B752" s="116"/>
      <c r="C752" s="12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5.6" x14ac:dyDescent="0.3">
      <c r="A753" s="116"/>
      <c r="B753" s="116"/>
      <c r="C753" s="12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5.6" x14ac:dyDescent="0.3">
      <c r="A754" s="116"/>
      <c r="B754" s="116"/>
      <c r="C754" s="12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5.6" x14ac:dyDescent="0.3">
      <c r="A755" s="116"/>
      <c r="B755" s="116"/>
      <c r="C755" s="12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5.6" x14ac:dyDescent="0.3">
      <c r="A756" s="116"/>
      <c r="B756" s="116"/>
      <c r="C756" s="12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5.6" x14ac:dyDescent="0.3">
      <c r="A757" s="116"/>
      <c r="B757" s="116"/>
      <c r="C757" s="12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5.6" x14ac:dyDescent="0.3">
      <c r="A758" s="116"/>
      <c r="B758" s="116"/>
      <c r="C758" s="12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5.6" x14ac:dyDescent="0.3">
      <c r="A759" s="116"/>
      <c r="B759" s="116"/>
      <c r="C759" s="12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5.6" x14ac:dyDescent="0.3">
      <c r="A760" s="116"/>
      <c r="B760" s="116"/>
      <c r="C760" s="12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5.6" x14ac:dyDescent="0.3">
      <c r="A761" s="116"/>
      <c r="B761" s="116"/>
      <c r="C761" s="12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5.6" x14ac:dyDescent="0.3">
      <c r="A762" s="116"/>
      <c r="B762" s="116"/>
      <c r="C762" s="12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5.6" x14ac:dyDescent="0.3">
      <c r="A763" s="116"/>
      <c r="B763" s="116"/>
      <c r="C763" s="12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5.6" x14ac:dyDescent="0.3">
      <c r="A764" s="116"/>
      <c r="B764" s="116"/>
      <c r="C764" s="12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5.6" x14ac:dyDescent="0.3">
      <c r="A765" s="116"/>
      <c r="B765" s="116"/>
      <c r="C765" s="12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5.6" x14ac:dyDescent="0.3">
      <c r="A766" s="116"/>
      <c r="B766" s="116"/>
      <c r="C766" s="12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5.6" x14ac:dyDescent="0.3">
      <c r="A767" s="116"/>
      <c r="B767" s="116"/>
      <c r="C767" s="12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5.6" x14ac:dyDescent="0.3">
      <c r="A768" s="116"/>
      <c r="B768" s="116"/>
      <c r="C768" s="12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5.6" x14ac:dyDescent="0.3">
      <c r="A769" s="116"/>
      <c r="B769" s="116"/>
      <c r="C769" s="12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5.6" x14ac:dyDescent="0.3">
      <c r="A770" s="116"/>
      <c r="B770" s="116"/>
      <c r="C770" s="12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5.6" x14ac:dyDescent="0.3">
      <c r="A771" s="116"/>
      <c r="B771" s="116"/>
      <c r="C771" s="12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5.6" x14ac:dyDescent="0.3">
      <c r="A772" s="116"/>
      <c r="B772" s="116"/>
      <c r="C772" s="12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5.6" x14ac:dyDescent="0.3">
      <c r="A773" s="116"/>
      <c r="B773" s="116"/>
      <c r="C773" s="12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5.6" x14ac:dyDescent="0.3">
      <c r="A774" s="116"/>
      <c r="B774" s="116"/>
      <c r="C774" s="12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5.6" x14ac:dyDescent="0.3">
      <c r="A775" s="116"/>
      <c r="B775" s="116"/>
      <c r="C775" s="12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5.6" x14ac:dyDescent="0.3">
      <c r="A776" s="116"/>
      <c r="B776" s="116"/>
      <c r="C776" s="12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5.6" x14ac:dyDescent="0.3">
      <c r="A777" s="116"/>
      <c r="B777" s="116"/>
      <c r="C777" s="12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5.6" x14ac:dyDescent="0.3">
      <c r="A778" s="116"/>
      <c r="B778" s="116"/>
      <c r="C778" s="12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5.6" x14ac:dyDescent="0.3">
      <c r="A779" s="116"/>
      <c r="B779" s="116"/>
      <c r="C779" s="12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5.6" x14ac:dyDescent="0.3">
      <c r="A780" s="116"/>
      <c r="B780" s="116"/>
      <c r="C780" s="12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5.6" x14ac:dyDescent="0.3">
      <c r="A781" s="116"/>
      <c r="B781" s="116"/>
      <c r="C781" s="12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5.6" x14ac:dyDescent="0.3">
      <c r="A782" s="116"/>
      <c r="B782" s="116"/>
      <c r="C782" s="12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5.6" x14ac:dyDescent="0.3">
      <c r="A783" s="116"/>
      <c r="B783" s="116"/>
      <c r="C783" s="12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5.6" x14ac:dyDescent="0.3">
      <c r="A784" s="116"/>
      <c r="B784" s="116"/>
      <c r="C784" s="12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5.6" x14ac:dyDescent="0.3">
      <c r="A785" s="116"/>
      <c r="B785" s="116"/>
      <c r="C785" s="12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5.6" x14ac:dyDescent="0.3">
      <c r="A786" s="116"/>
      <c r="B786" s="116"/>
      <c r="C786" s="12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5.6" x14ac:dyDescent="0.3">
      <c r="A787" s="116"/>
      <c r="B787" s="116"/>
      <c r="C787" s="12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5.6" x14ac:dyDescent="0.3">
      <c r="A788" s="116"/>
      <c r="B788" s="116"/>
      <c r="C788" s="12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5.6" x14ac:dyDescent="0.3">
      <c r="A789" s="116"/>
      <c r="B789" s="116"/>
      <c r="C789" s="12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5.6" x14ac:dyDescent="0.3">
      <c r="A790" s="116"/>
      <c r="B790" s="116"/>
      <c r="C790" s="12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5.6" x14ac:dyDescent="0.3">
      <c r="A791" s="116"/>
      <c r="B791" s="116"/>
      <c r="C791" s="12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5.6" x14ac:dyDescent="0.3">
      <c r="A792" s="116"/>
      <c r="B792" s="116"/>
      <c r="C792" s="12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5.6" x14ac:dyDescent="0.3">
      <c r="A793" s="116"/>
      <c r="B793" s="116"/>
      <c r="C793" s="12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5.6" x14ac:dyDescent="0.3">
      <c r="A794" s="116"/>
      <c r="B794" s="116"/>
      <c r="C794" s="12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5.6" x14ac:dyDescent="0.3">
      <c r="A795" s="116"/>
      <c r="B795" s="116"/>
      <c r="C795" s="12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5.6" x14ac:dyDescent="0.3">
      <c r="A796" s="116"/>
      <c r="B796" s="116"/>
      <c r="C796" s="12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5.6" x14ac:dyDescent="0.3">
      <c r="A797" s="116"/>
      <c r="B797" s="116"/>
      <c r="C797" s="12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5.6" x14ac:dyDescent="0.3">
      <c r="A798" s="116"/>
      <c r="B798" s="116"/>
      <c r="C798" s="12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5.6" x14ac:dyDescent="0.3">
      <c r="A799" s="116"/>
      <c r="B799" s="116"/>
      <c r="C799" s="12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5.6" x14ac:dyDescent="0.3">
      <c r="A800" s="116"/>
      <c r="B800" s="116"/>
      <c r="C800" s="12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5.6" x14ac:dyDescent="0.3">
      <c r="A801" s="116"/>
      <c r="B801" s="116"/>
      <c r="C801" s="12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5.6" x14ac:dyDescent="0.3">
      <c r="A802" s="116"/>
      <c r="B802" s="116"/>
      <c r="C802" s="12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5.6" x14ac:dyDescent="0.3">
      <c r="A803" s="116"/>
      <c r="B803" s="116"/>
      <c r="C803" s="12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5.6" x14ac:dyDescent="0.3">
      <c r="A804" s="116"/>
      <c r="B804" s="116"/>
      <c r="C804" s="12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5.6" x14ac:dyDescent="0.3">
      <c r="A805" s="116"/>
      <c r="B805" s="116"/>
      <c r="C805" s="12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5.6" x14ac:dyDescent="0.3">
      <c r="A806" s="116"/>
      <c r="B806" s="116"/>
      <c r="C806" s="12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5.6" x14ac:dyDescent="0.3">
      <c r="A807" s="116"/>
      <c r="B807" s="116"/>
      <c r="C807" s="12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5.6" x14ac:dyDescent="0.3">
      <c r="A808" s="116"/>
      <c r="B808" s="116"/>
      <c r="C808" s="12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5.6" x14ac:dyDescent="0.3">
      <c r="A809" s="116"/>
      <c r="B809" s="116"/>
      <c r="C809" s="12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5.6" x14ac:dyDescent="0.3">
      <c r="A810" s="116"/>
      <c r="B810" s="116"/>
      <c r="C810" s="12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5.6" x14ac:dyDescent="0.3">
      <c r="A811" s="116"/>
      <c r="B811" s="116"/>
      <c r="C811" s="12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5.6" x14ac:dyDescent="0.3">
      <c r="A812" s="116"/>
      <c r="B812" s="116"/>
      <c r="C812" s="12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5.6" x14ac:dyDescent="0.3">
      <c r="A813" s="116"/>
      <c r="B813" s="116"/>
      <c r="C813" s="12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5.6" x14ac:dyDescent="0.3">
      <c r="A814" s="116"/>
      <c r="B814" s="116"/>
      <c r="C814" s="12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5.6" x14ac:dyDescent="0.3">
      <c r="A815" s="116"/>
      <c r="B815" s="116"/>
      <c r="C815" s="12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5.6" x14ac:dyDescent="0.3">
      <c r="A816" s="116"/>
      <c r="B816" s="116"/>
      <c r="C816" s="12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5.6" x14ac:dyDescent="0.3">
      <c r="A817" s="116"/>
      <c r="B817" s="116"/>
      <c r="C817" s="12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5.6" x14ac:dyDescent="0.3">
      <c r="A818" s="116"/>
      <c r="B818" s="116"/>
      <c r="C818" s="12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5.6" x14ac:dyDescent="0.3">
      <c r="A819" s="116"/>
      <c r="B819" s="116"/>
      <c r="C819" s="12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5.6" x14ac:dyDescent="0.3">
      <c r="A820" s="116"/>
      <c r="B820" s="116"/>
      <c r="C820" s="12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5.6" x14ac:dyDescent="0.3">
      <c r="A821" s="116"/>
      <c r="B821" s="116"/>
      <c r="C821" s="12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5.6" x14ac:dyDescent="0.3">
      <c r="A822" s="116"/>
      <c r="B822" s="116"/>
      <c r="C822" s="12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5.6" x14ac:dyDescent="0.3">
      <c r="A823" s="116"/>
      <c r="B823" s="116"/>
      <c r="C823" s="12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5.6" x14ac:dyDescent="0.3">
      <c r="A824" s="116"/>
      <c r="B824" s="116"/>
      <c r="C824" s="12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5.6" x14ac:dyDescent="0.3">
      <c r="A825" s="116"/>
      <c r="B825" s="116"/>
      <c r="C825" s="12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5.6" x14ac:dyDescent="0.3">
      <c r="A826" s="116"/>
      <c r="B826" s="116"/>
      <c r="C826" s="12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5.6" x14ac:dyDescent="0.3">
      <c r="A827" s="116"/>
      <c r="B827" s="116"/>
      <c r="C827" s="12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5.6" x14ac:dyDescent="0.3">
      <c r="A828" s="116"/>
      <c r="B828" s="116"/>
      <c r="C828" s="12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5.6" x14ac:dyDescent="0.3">
      <c r="A829" s="116"/>
      <c r="B829" s="116"/>
      <c r="C829" s="12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5.6" x14ac:dyDescent="0.3">
      <c r="A830" s="116"/>
      <c r="B830" s="116"/>
      <c r="C830" s="12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5.6" x14ac:dyDescent="0.3">
      <c r="A831" s="116"/>
      <c r="B831" s="116"/>
      <c r="C831" s="12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5.6" x14ac:dyDescent="0.3">
      <c r="A832" s="116"/>
      <c r="B832" s="116"/>
      <c r="C832" s="12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5.6" x14ac:dyDescent="0.3">
      <c r="A833" s="116"/>
      <c r="B833" s="116"/>
      <c r="C833" s="12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5.6" x14ac:dyDescent="0.3">
      <c r="A834" s="116"/>
      <c r="B834" s="116"/>
      <c r="C834" s="12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5.6" x14ac:dyDescent="0.3">
      <c r="A835" s="116"/>
      <c r="B835" s="116"/>
      <c r="C835" s="12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5.6" x14ac:dyDescent="0.3">
      <c r="A836" s="116"/>
      <c r="B836" s="116"/>
      <c r="C836" s="12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5.6" x14ac:dyDescent="0.3">
      <c r="A837" s="116"/>
      <c r="B837" s="116"/>
      <c r="C837" s="12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5.6" x14ac:dyDescent="0.3">
      <c r="A838" s="116"/>
      <c r="B838" s="116"/>
      <c r="C838" s="12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5.6" x14ac:dyDescent="0.3">
      <c r="A839" s="116"/>
      <c r="B839" s="116"/>
      <c r="C839" s="12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5.6" x14ac:dyDescent="0.3">
      <c r="A840" s="116"/>
      <c r="B840" s="116"/>
      <c r="C840" s="12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5.6" x14ac:dyDescent="0.3">
      <c r="A841" s="116"/>
      <c r="B841" s="116"/>
      <c r="C841" s="12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5.6" x14ac:dyDescent="0.3">
      <c r="A842" s="116"/>
      <c r="B842" s="116"/>
      <c r="C842" s="12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5.6" x14ac:dyDescent="0.3">
      <c r="A843" s="116"/>
      <c r="B843" s="116"/>
      <c r="C843" s="12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5.6" x14ac:dyDescent="0.3">
      <c r="A844" s="116"/>
      <c r="B844" s="116"/>
      <c r="C844" s="12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5.6" x14ac:dyDescent="0.3">
      <c r="A845" s="116"/>
      <c r="B845" s="116"/>
      <c r="C845" s="12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5.6" x14ac:dyDescent="0.3">
      <c r="A846" s="116"/>
      <c r="B846" s="116"/>
      <c r="C846" s="12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5.6" x14ac:dyDescent="0.3">
      <c r="A847" s="116"/>
      <c r="B847" s="116"/>
      <c r="C847" s="12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5.6" x14ac:dyDescent="0.3">
      <c r="A848" s="116"/>
      <c r="B848" s="116"/>
      <c r="C848" s="12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5.6" x14ac:dyDescent="0.3">
      <c r="A849" s="116"/>
      <c r="B849" s="116"/>
      <c r="C849" s="12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5.6" x14ac:dyDescent="0.3">
      <c r="A850" s="116"/>
      <c r="B850" s="116"/>
      <c r="C850" s="12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5.6" x14ac:dyDescent="0.3">
      <c r="A851" s="116"/>
      <c r="B851" s="116"/>
      <c r="C851" s="12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5.6" x14ac:dyDescent="0.3">
      <c r="A852" s="116"/>
      <c r="B852" s="116"/>
      <c r="C852" s="12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5.6" x14ac:dyDescent="0.3">
      <c r="A853" s="116"/>
      <c r="B853" s="116"/>
      <c r="C853" s="12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5.6" x14ac:dyDescent="0.3">
      <c r="A854" s="116"/>
      <c r="B854" s="116"/>
      <c r="C854" s="12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5.6" x14ac:dyDescent="0.3">
      <c r="A855" s="116"/>
      <c r="B855" s="116"/>
      <c r="C855" s="12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5.6" x14ac:dyDescent="0.3">
      <c r="A856" s="116"/>
      <c r="B856" s="116"/>
      <c r="C856" s="12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5.6" x14ac:dyDescent="0.3">
      <c r="A857" s="116"/>
      <c r="B857" s="116"/>
      <c r="C857" s="12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5.6" x14ac:dyDescent="0.3">
      <c r="A858" s="116"/>
      <c r="B858" s="116"/>
      <c r="C858" s="12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5.6" x14ac:dyDescent="0.3">
      <c r="A859" s="116"/>
      <c r="B859" s="116"/>
      <c r="C859" s="12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5.6" x14ac:dyDescent="0.3">
      <c r="A860" s="116"/>
      <c r="B860" s="116"/>
      <c r="C860" s="12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5.6" x14ac:dyDescent="0.3">
      <c r="A861" s="116"/>
      <c r="B861" s="116"/>
      <c r="C861" s="12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5.6" x14ac:dyDescent="0.3">
      <c r="A862" s="116"/>
      <c r="B862" s="116"/>
      <c r="C862" s="12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5.6" x14ac:dyDescent="0.3">
      <c r="A863" s="116"/>
      <c r="B863" s="116"/>
      <c r="C863" s="12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5.6" x14ac:dyDescent="0.3">
      <c r="A864" s="116"/>
      <c r="B864" s="116"/>
      <c r="C864" s="12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5.6" x14ac:dyDescent="0.3">
      <c r="A865" s="116"/>
      <c r="B865" s="116"/>
      <c r="C865" s="12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5.6" x14ac:dyDescent="0.3">
      <c r="A866" s="116"/>
      <c r="B866" s="116"/>
      <c r="C866" s="12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5.6" x14ac:dyDescent="0.3">
      <c r="A867" s="116"/>
      <c r="B867" s="116"/>
      <c r="C867" s="12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5.6" x14ac:dyDescent="0.3">
      <c r="A868" s="116"/>
      <c r="B868" s="116"/>
      <c r="C868" s="12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5.6" x14ac:dyDescent="0.3">
      <c r="A869" s="116"/>
      <c r="B869" s="116"/>
      <c r="C869" s="12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5.6" x14ac:dyDescent="0.3">
      <c r="A870" s="116"/>
      <c r="B870" s="116"/>
      <c r="C870" s="12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5.6" x14ac:dyDescent="0.3">
      <c r="A871" s="116"/>
      <c r="B871" s="116"/>
      <c r="C871" s="12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5.6" x14ac:dyDescent="0.3">
      <c r="A872" s="116"/>
      <c r="B872" s="116"/>
      <c r="C872" s="12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5.6" x14ac:dyDescent="0.3">
      <c r="A873" s="116"/>
      <c r="B873" s="116"/>
      <c r="C873" s="12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5.6" x14ac:dyDescent="0.3">
      <c r="A874" s="116"/>
      <c r="B874" s="116"/>
      <c r="C874" s="12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5.6" x14ac:dyDescent="0.3">
      <c r="A875" s="116"/>
      <c r="B875" s="116"/>
      <c r="C875" s="12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5.6" x14ac:dyDescent="0.3">
      <c r="A876" s="116"/>
      <c r="B876" s="116"/>
      <c r="C876" s="12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5.6" x14ac:dyDescent="0.3">
      <c r="A877" s="116"/>
      <c r="B877" s="116"/>
      <c r="C877" s="12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5.6" x14ac:dyDescent="0.3">
      <c r="A878" s="116"/>
      <c r="B878" s="116"/>
      <c r="C878" s="12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5.6" x14ac:dyDescent="0.3">
      <c r="A879" s="116"/>
      <c r="B879" s="116"/>
      <c r="C879" s="12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5.6" x14ac:dyDescent="0.3">
      <c r="A880" s="116"/>
      <c r="B880" s="116"/>
      <c r="C880" s="12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5.6" x14ac:dyDescent="0.3">
      <c r="A881" s="116"/>
      <c r="B881" s="116"/>
      <c r="C881" s="12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5.6" x14ac:dyDescent="0.3">
      <c r="A882" s="116"/>
      <c r="B882" s="116"/>
      <c r="C882" s="12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5.6" x14ac:dyDescent="0.3">
      <c r="A883" s="116"/>
      <c r="B883" s="116"/>
      <c r="C883" s="12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5.6" x14ac:dyDescent="0.3">
      <c r="A884" s="116"/>
      <c r="B884" s="116"/>
      <c r="C884" s="12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5.6" x14ac:dyDescent="0.3">
      <c r="A885" s="116"/>
      <c r="B885" s="116"/>
      <c r="C885" s="12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5.6" x14ac:dyDescent="0.3">
      <c r="A886" s="116"/>
      <c r="B886" s="116"/>
      <c r="C886" s="12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5.6" x14ac:dyDescent="0.3">
      <c r="A887" s="116"/>
      <c r="B887" s="116"/>
      <c r="C887" s="12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5.6" x14ac:dyDescent="0.3">
      <c r="A888" s="116"/>
      <c r="B888" s="116"/>
      <c r="C888" s="12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5.6" x14ac:dyDescent="0.3">
      <c r="A889" s="116"/>
      <c r="B889" s="116"/>
      <c r="C889" s="12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5.6" x14ac:dyDescent="0.3">
      <c r="A890" s="116"/>
      <c r="B890" s="116"/>
      <c r="C890" s="12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5.6" x14ac:dyDescent="0.3">
      <c r="A891" s="116"/>
      <c r="B891" s="116"/>
      <c r="C891" s="12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5.6" x14ac:dyDescent="0.3">
      <c r="A892" s="116"/>
      <c r="B892" s="116"/>
      <c r="C892" s="12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5.6" x14ac:dyDescent="0.3">
      <c r="A893" s="116"/>
      <c r="B893" s="116"/>
      <c r="C893" s="12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5.6" x14ac:dyDescent="0.3">
      <c r="A894" s="116"/>
      <c r="B894" s="116"/>
      <c r="C894" s="12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5.6" x14ac:dyDescent="0.3">
      <c r="A895" s="116"/>
      <c r="B895" s="116"/>
      <c r="C895" s="12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5.6" x14ac:dyDescent="0.3">
      <c r="A896" s="116"/>
      <c r="B896" s="116"/>
      <c r="C896" s="12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5.6" x14ac:dyDescent="0.3">
      <c r="A897" s="116"/>
      <c r="B897" s="116"/>
      <c r="C897" s="12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5.6" x14ac:dyDescent="0.3">
      <c r="A898" s="116"/>
      <c r="B898" s="116"/>
      <c r="C898" s="12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5.6" x14ac:dyDescent="0.3">
      <c r="A899" s="116"/>
      <c r="B899" s="116"/>
      <c r="C899" s="12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5.6" x14ac:dyDescent="0.3">
      <c r="A900" s="116"/>
      <c r="B900" s="116"/>
      <c r="C900" s="12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5.6" x14ac:dyDescent="0.3">
      <c r="A901" s="116"/>
      <c r="B901" s="116"/>
      <c r="C901" s="12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5.6" x14ac:dyDescent="0.3">
      <c r="A902" s="116"/>
      <c r="B902" s="116"/>
      <c r="C902" s="12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5.6" x14ac:dyDescent="0.3">
      <c r="A903" s="116"/>
      <c r="B903" s="116"/>
      <c r="C903" s="12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5.6" x14ac:dyDescent="0.3">
      <c r="A904" s="116"/>
      <c r="B904" s="116"/>
      <c r="C904" s="12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5.6" x14ac:dyDescent="0.3">
      <c r="A905" s="116"/>
      <c r="B905" s="116"/>
      <c r="C905" s="12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5.6" x14ac:dyDescent="0.3">
      <c r="A906" s="116"/>
      <c r="B906" s="116"/>
      <c r="C906" s="12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5.6" x14ac:dyDescent="0.3">
      <c r="A907" s="116"/>
      <c r="B907" s="116"/>
      <c r="C907" s="12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5.6" x14ac:dyDescent="0.3">
      <c r="A908" s="116"/>
      <c r="B908" s="116"/>
      <c r="C908" s="12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5.6" x14ac:dyDescent="0.3">
      <c r="A909" s="116"/>
      <c r="B909" s="116"/>
      <c r="C909" s="12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5.6" x14ac:dyDescent="0.3">
      <c r="A910" s="116"/>
      <c r="B910" s="116"/>
      <c r="C910" s="12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5.6" x14ac:dyDescent="0.3">
      <c r="A911" s="116"/>
      <c r="B911" s="116"/>
      <c r="C911" s="12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5.6" x14ac:dyDescent="0.3">
      <c r="A912" s="116"/>
      <c r="B912" s="116"/>
      <c r="C912" s="12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5.6" x14ac:dyDescent="0.3">
      <c r="A913" s="116"/>
      <c r="B913" s="116"/>
      <c r="C913" s="12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5.6" x14ac:dyDescent="0.3">
      <c r="A914" s="116"/>
      <c r="B914" s="116"/>
      <c r="C914" s="12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5.6" x14ac:dyDescent="0.3">
      <c r="A915" s="116"/>
      <c r="B915" s="116"/>
      <c r="C915" s="12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5.6" x14ac:dyDescent="0.3">
      <c r="A916" s="116"/>
      <c r="B916" s="116"/>
      <c r="C916" s="12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5.6" x14ac:dyDescent="0.3">
      <c r="A917" s="116"/>
      <c r="B917" s="116"/>
      <c r="C917" s="12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5.6" x14ac:dyDescent="0.3">
      <c r="A918" s="116"/>
      <c r="B918" s="116"/>
      <c r="C918" s="12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5.6" x14ac:dyDescent="0.3">
      <c r="A919" s="116"/>
      <c r="B919" s="116"/>
      <c r="C919" s="12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5.6" x14ac:dyDescent="0.3">
      <c r="A920" s="116"/>
      <c r="B920" s="116"/>
      <c r="C920" s="12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5.6" x14ac:dyDescent="0.3">
      <c r="A921" s="116"/>
      <c r="B921" s="116"/>
      <c r="C921" s="12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5.6" x14ac:dyDescent="0.3">
      <c r="A922" s="116"/>
      <c r="B922" s="116"/>
      <c r="C922" s="12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5.6" x14ac:dyDescent="0.3">
      <c r="A923" s="116"/>
      <c r="B923" s="116"/>
      <c r="C923" s="12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5.6" x14ac:dyDescent="0.3">
      <c r="A924" s="116"/>
      <c r="B924" s="116"/>
      <c r="C924" s="12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5.6" x14ac:dyDescent="0.3">
      <c r="A925" s="116"/>
      <c r="B925" s="116"/>
      <c r="C925" s="12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5.6" x14ac:dyDescent="0.3">
      <c r="A926" s="116"/>
      <c r="B926" s="116"/>
      <c r="C926" s="12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5.6" x14ac:dyDescent="0.3">
      <c r="A927" s="116"/>
      <c r="B927" s="116"/>
      <c r="C927" s="12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5.6" x14ac:dyDescent="0.3">
      <c r="A928" s="116"/>
      <c r="B928" s="116"/>
      <c r="C928" s="12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5.6" x14ac:dyDescent="0.3">
      <c r="A929" s="116"/>
      <c r="B929" s="116"/>
      <c r="C929" s="12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5.6" x14ac:dyDescent="0.3">
      <c r="A930" s="116"/>
      <c r="B930" s="116"/>
      <c r="C930" s="12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5.6" x14ac:dyDescent="0.3">
      <c r="A931" s="116"/>
      <c r="B931" s="116"/>
      <c r="C931" s="12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5.6" x14ac:dyDescent="0.3">
      <c r="A932" s="116"/>
      <c r="B932" s="116"/>
      <c r="C932" s="12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5.6" x14ac:dyDescent="0.3">
      <c r="A933" s="116"/>
      <c r="B933" s="116"/>
      <c r="C933" s="12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5.6" x14ac:dyDescent="0.3">
      <c r="A934" s="116"/>
      <c r="B934" s="116"/>
      <c r="C934" s="12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5.6" x14ac:dyDescent="0.3">
      <c r="A935" s="116"/>
      <c r="B935" s="116"/>
      <c r="C935" s="12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5.6" x14ac:dyDescent="0.3">
      <c r="A936" s="116"/>
      <c r="B936" s="116"/>
      <c r="C936" s="12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5.6" x14ac:dyDescent="0.3">
      <c r="A937" s="116"/>
      <c r="B937" s="116"/>
      <c r="C937" s="12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5.6" x14ac:dyDescent="0.3">
      <c r="A938" s="116"/>
      <c r="B938" s="116"/>
      <c r="C938" s="12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5.6" x14ac:dyDescent="0.3">
      <c r="A939" s="116"/>
      <c r="B939" s="116"/>
      <c r="C939" s="12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5.6" x14ac:dyDescent="0.3">
      <c r="A940" s="116"/>
      <c r="B940" s="116"/>
      <c r="C940" s="12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5.6" x14ac:dyDescent="0.3">
      <c r="A941" s="116"/>
      <c r="B941" s="116"/>
      <c r="C941" s="12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5.6" x14ac:dyDescent="0.3">
      <c r="A942" s="116"/>
      <c r="B942" s="116"/>
      <c r="C942" s="12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5.6" x14ac:dyDescent="0.3">
      <c r="A943" s="116"/>
      <c r="B943" s="116"/>
      <c r="C943" s="12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5.6" x14ac:dyDescent="0.3">
      <c r="A944" s="116"/>
      <c r="B944" s="116"/>
      <c r="C944" s="12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5.6" x14ac:dyDescent="0.3">
      <c r="A945" s="116"/>
      <c r="B945" s="116"/>
      <c r="C945" s="12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5.6" x14ac:dyDescent="0.3">
      <c r="A946" s="116"/>
      <c r="B946" s="116"/>
      <c r="C946" s="12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5.6" x14ac:dyDescent="0.3">
      <c r="A947" s="116"/>
      <c r="B947" s="116"/>
      <c r="C947" s="12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5.6" x14ac:dyDescent="0.3">
      <c r="A948" s="116"/>
      <c r="B948" s="116"/>
      <c r="C948" s="12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5.6" x14ac:dyDescent="0.3">
      <c r="A949" s="116"/>
      <c r="B949" s="116"/>
      <c r="C949" s="12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5.6" x14ac:dyDescent="0.3">
      <c r="A950" s="116"/>
      <c r="B950" s="116"/>
      <c r="C950" s="12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5.6" x14ac:dyDescent="0.3">
      <c r="A951" s="116"/>
      <c r="B951" s="116"/>
      <c r="C951" s="12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5.6" x14ac:dyDescent="0.3">
      <c r="A952" s="116"/>
      <c r="B952" s="116"/>
      <c r="C952" s="12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5.6" x14ac:dyDescent="0.3">
      <c r="A953" s="116"/>
      <c r="B953" s="116"/>
      <c r="C953" s="12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5.6" x14ac:dyDescent="0.3">
      <c r="A954" s="116"/>
      <c r="B954" s="116"/>
      <c r="C954" s="12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5.6" x14ac:dyDescent="0.3">
      <c r="A955" s="116"/>
      <c r="B955" s="116"/>
      <c r="C955" s="12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5.6" x14ac:dyDescent="0.3">
      <c r="A956" s="116"/>
      <c r="B956" s="116"/>
      <c r="C956" s="12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5.6" x14ac:dyDescent="0.3">
      <c r="A957" s="116"/>
      <c r="B957" s="116"/>
      <c r="C957" s="12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5.6" x14ac:dyDescent="0.3">
      <c r="A958" s="116"/>
      <c r="B958" s="116"/>
      <c r="C958" s="12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5.6" x14ac:dyDescent="0.3">
      <c r="A959" s="116"/>
      <c r="B959" s="116"/>
      <c r="C959" s="12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5.6" x14ac:dyDescent="0.3">
      <c r="A960" s="116"/>
      <c r="B960" s="116"/>
      <c r="C960" s="12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5.6" x14ac:dyDescent="0.3">
      <c r="A961" s="116"/>
      <c r="B961" s="116"/>
      <c r="C961" s="12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5.6" x14ac:dyDescent="0.3">
      <c r="A962" s="116"/>
      <c r="B962" s="116"/>
      <c r="C962" s="12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5.6" x14ac:dyDescent="0.3">
      <c r="A963" s="116"/>
      <c r="B963" s="116"/>
      <c r="C963" s="12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5.6" x14ac:dyDescent="0.3">
      <c r="A964" s="116"/>
      <c r="B964" s="116"/>
      <c r="C964" s="12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5.6" x14ac:dyDescent="0.3">
      <c r="A965" s="116"/>
      <c r="B965" s="116"/>
      <c r="C965" s="12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5.6" x14ac:dyDescent="0.3">
      <c r="A966" s="116"/>
      <c r="B966" s="116"/>
      <c r="C966" s="12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5.6" x14ac:dyDescent="0.3">
      <c r="A967" s="116"/>
      <c r="B967" s="116"/>
      <c r="C967" s="12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5.6" x14ac:dyDescent="0.3">
      <c r="A968" s="116"/>
      <c r="B968" s="116"/>
      <c r="C968" s="12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5.6" x14ac:dyDescent="0.3">
      <c r="A969" s="116"/>
      <c r="B969" s="116"/>
      <c r="C969" s="12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5.6" x14ac:dyDescent="0.3">
      <c r="A970" s="116"/>
      <c r="B970" s="116"/>
      <c r="C970" s="12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5.6" x14ac:dyDescent="0.3">
      <c r="A971" s="116"/>
      <c r="B971" s="116"/>
      <c r="C971" s="12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5.6" x14ac:dyDescent="0.3">
      <c r="A972" s="116"/>
      <c r="B972" s="116"/>
      <c r="C972" s="12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5.6" x14ac:dyDescent="0.3">
      <c r="A973" s="116"/>
      <c r="B973" s="116"/>
      <c r="C973" s="12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5.6" x14ac:dyDescent="0.3">
      <c r="A974" s="116"/>
      <c r="B974" s="116"/>
      <c r="C974" s="12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5.6" x14ac:dyDescent="0.3">
      <c r="A975" s="116"/>
      <c r="B975" s="116"/>
      <c r="C975" s="12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5.6" x14ac:dyDescent="0.3">
      <c r="A976" s="116"/>
      <c r="B976" s="116"/>
      <c r="C976" s="12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5.6" x14ac:dyDescent="0.3">
      <c r="A977" s="116"/>
      <c r="B977" s="116"/>
      <c r="C977" s="12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5.6" x14ac:dyDescent="0.3">
      <c r="A978" s="116"/>
      <c r="B978" s="116"/>
      <c r="C978" s="12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5.6" x14ac:dyDescent="0.3">
      <c r="A979" s="116"/>
      <c r="B979" s="116"/>
      <c r="C979" s="12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5.6" x14ac:dyDescent="0.3">
      <c r="A980" s="116"/>
      <c r="B980" s="116"/>
      <c r="C980" s="12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5.6" x14ac:dyDescent="0.3">
      <c r="A981" s="116"/>
      <c r="B981" s="116"/>
      <c r="C981" s="12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5.6" x14ac:dyDescent="0.3">
      <c r="A982" s="116"/>
      <c r="B982" s="116"/>
      <c r="C982" s="12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5.6" x14ac:dyDescent="0.3">
      <c r="A983" s="116"/>
      <c r="B983" s="116"/>
      <c r="C983" s="12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5.6" x14ac:dyDescent="0.3">
      <c r="A984" s="116"/>
      <c r="B984" s="116"/>
      <c r="C984" s="12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5.6" x14ac:dyDescent="0.3">
      <c r="A985" s="116"/>
      <c r="B985" s="116"/>
      <c r="C985" s="12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5.6" x14ac:dyDescent="0.3">
      <c r="A986" s="116"/>
      <c r="B986" s="116"/>
      <c r="C986" s="12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5.6" x14ac:dyDescent="0.3">
      <c r="A987" s="116"/>
      <c r="B987" s="116"/>
      <c r="C987" s="12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5.6" x14ac:dyDescent="0.3">
      <c r="A988" s="116"/>
      <c r="B988" s="116"/>
      <c r="C988" s="12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5.6" x14ac:dyDescent="0.3">
      <c r="A989" s="116"/>
      <c r="B989" s="116"/>
      <c r="C989" s="12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5.6" x14ac:dyDescent="0.3">
      <c r="A990" s="116"/>
      <c r="B990" s="116"/>
      <c r="C990" s="12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5.6" x14ac:dyDescent="0.3">
      <c r="A991" s="116"/>
      <c r="B991" s="116"/>
      <c r="C991" s="12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5.6" x14ac:dyDescent="0.3">
      <c r="A992" s="116"/>
      <c r="B992" s="116"/>
      <c r="C992" s="12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5.6" x14ac:dyDescent="0.3">
      <c r="A993" s="116"/>
      <c r="B993" s="116"/>
      <c r="C993" s="12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5.6" x14ac:dyDescent="0.3">
      <c r="A994" s="116"/>
      <c r="B994" s="116"/>
      <c r="C994" s="12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5.6" x14ac:dyDescent="0.3">
      <c r="A995" s="116"/>
      <c r="B995" s="116"/>
      <c r="C995" s="12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5.6" x14ac:dyDescent="0.3">
      <c r="A996" s="116"/>
      <c r="B996" s="116"/>
      <c r="C996" s="12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5.6" x14ac:dyDescent="0.3">
      <c r="A997" s="116"/>
      <c r="B997" s="116"/>
      <c r="C997" s="12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5.6" x14ac:dyDescent="0.3">
      <c r="A998" s="116"/>
      <c r="B998" s="116"/>
      <c r="C998" s="12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5.6" x14ac:dyDescent="0.3">
      <c r="A999" s="116"/>
      <c r="B999" s="116"/>
      <c r="C999" s="12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5.6" x14ac:dyDescent="0.3">
      <c r="A1000" s="116"/>
      <c r="B1000" s="116"/>
      <c r="C1000" s="12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mergeCells count="2">
    <mergeCell ref="D1:H1"/>
    <mergeCell ref="I1:M1"/>
  </mergeCells>
  <conditionalFormatting sqref="D3:M3">
    <cfRule type="containsText" dxfId="3" priority="1" operator="containsText" text="OK">
      <formula>NOT(ISERROR(SEARCH(("OK"),(D3))))</formula>
    </cfRule>
    <cfRule type="containsText" dxfId="2" priority="2" operator="containsText" text="ERROR">
      <formula>NOT(ISERROR(SEARCH(("ERROR"),(D3))))</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2C6F-7F7F-4978-8AC7-9CA65927F01D}">
  <dimension ref="B1:N52"/>
  <sheetViews>
    <sheetView topLeftCell="A4" workbookViewId="0">
      <selection activeCell="D34" sqref="D34"/>
    </sheetView>
  </sheetViews>
  <sheetFormatPr defaultColWidth="9.109375" defaultRowHeight="15.6" customHeight="1" x14ac:dyDescent="0.35"/>
  <cols>
    <col min="1" max="1" width="3.5546875" style="22" customWidth="1"/>
    <col min="2" max="2" width="12.6640625" style="22" customWidth="1"/>
    <col min="3" max="3" width="12.44140625" style="22" customWidth="1"/>
    <col min="4" max="4" width="11.33203125" style="23" customWidth="1"/>
    <col min="5" max="9" width="11.5546875" style="22" customWidth="1"/>
    <col min="10" max="14" width="12.5546875" style="22" customWidth="1"/>
    <col min="15" max="16384" width="9.109375" style="22"/>
  </cols>
  <sheetData>
    <row r="1" spans="2:14" s="6" customFormat="1" ht="55.05" customHeight="1" x14ac:dyDescent="0.4">
      <c r="B1" s="16" t="s">
        <v>37</v>
      </c>
      <c r="C1" s="17"/>
      <c r="D1" s="17"/>
      <c r="E1" s="18"/>
      <c r="F1" s="18"/>
      <c r="G1" s="18"/>
      <c r="H1" s="18"/>
      <c r="I1" s="18"/>
      <c r="J1" s="18"/>
      <c r="K1" s="18"/>
      <c r="L1" s="18"/>
      <c r="M1" s="18"/>
      <c r="N1" s="18"/>
    </row>
    <row r="3" spans="2:14" s="6" customFormat="1" ht="21" x14ac:dyDescent="0.35">
      <c r="B3" s="19" t="s">
        <v>38</v>
      </c>
      <c r="C3" s="20"/>
      <c r="D3" s="20"/>
      <c r="E3" s="20"/>
      <c r="F3" s="20"/>
      <c r="G3" s="20"/>
      <c r="H3" s="20"/>
      <c r="I3" s="20"/>
      <c r="J3" s="20"/>
      <c r="K3" s="20"/>
      <c r="L3" s="20"/>
      <c r="M3" s="20"/>
      <c r="N3" s="20"/>
    </row>
    <row r="4" spans="2:14" ht="15.6" customHeight="1" x14ac:dyDescent="0.35">
      <c r="B4" s="21"/>
      <c r="E4" s="24"/>
      <c r="F4" s="24"/>
      <c r="G4" s="24"/>
      <c r="H4" s="24"/>
      <c r="I4" s="24"/>
    </row>
    <row r="5" spans="2:14" ht="15.6" customHeight="1" thickBot="1" x14ac:dyDescent="0.4">
      <c r="B5" s="25" t="s">
        <v>39</v>
      </c>
      <c r="C5" s="26"/>
      <c r="D5" s="26"/>
      <c r="E5" s="24"/>
    </row>
    <row r="6" spans="2:14" ht="15.6" customHeight="1" x14ac:dyDescent="0.35">
      <c r="B6" s="27" t="s">
        <v>40</v>
      </c>
      <c r="C6" s="28"/>
      <c r="D6" s="71">
        <f>0.166</f>
        <v>0.16600000000000001</v>
      </c>
      <c r="E6" s="24"/>
    </row>
    <row r="7" spans="2:14" ht="15.6" customHeight="1" x14ac:dyDescent="0.35">
      <c r="B7" s="30" t="s">
        <v>41</v>
      </c>
      <c r="D7" s="31">
        <v>7.4999999999999997E-2</v>
      </c>
    </row>
    <row r="8" spans="2:14" ht="15.6" customHeight="1" x14ac:dyDescent="0.35">
      <c r="B8" s="22" t="s">
        <v>80</v>
      </c>
      <c r="D8" s="32">
        <v>0.04</v>
      </c>
    </row>
    <row r="9" spans="2:14" ht="15.6" customHeight="1" x14ac:dyDescent="0.35">
      <c r="B9" s="22" t="s">
        <v>81</v>
      </c>
      <c r="D9" s="33" t="s">
        <v>82</v>
      </c>
    </row>
    <row r="10" spans="2:14" ht="15.6" customHeight="1" x14ac:dyDescent="0.35">
      <c r="B10" s="22" t="s">
        <v>45</v>
      </c>
      <c r="D10" s="34">
        <v>45565</v>
      </c>
    </row>
    <row r="11" spans="2:14" ht="15.6" customHeight="1" x14ac:dyDescent="0.35">
      <c r="B11" s="22" t="s">
        <v>46</v>
      </c>
      <c r="D11" s="35">
        <v>45565</v>
      </c>
    </row>
    <row r="12" spans="2:14" ht="15.6" customHeight="1" x14ac:dyDescent="0.35">
      <c r="B12" s="22" t="s">
        <v>47</v>
      </c>
      <c r="D12" s="36">
        <v>231.27</v>
      </c>
    </row>
    <row r="13" spans="2:14" ht="15.6" customHeight="1" x14ac:dyDescent="0.35">
      <c r="B13" s="22" t="s">
        <v>48</v>
      </c>
      <c r="D13" s="37">
        <v>15116</v>
      </c>
    </row>
    <row r="14" spans="2:14" ht="15.6" customHeight="1" x14ac:dyDescent="0.35">
      <c r="B14" s="22" t="s">
        <v>49</v>
      </c>
      <c r="D14" s="37">
        <f>'[2] 3-Statement Model'!H51</f>
        <v>85750</v>
      </c>
    </row>
    <row r="15" spans="2:14" ht="15.6" customHeight="1" x14ac:dyDescent="0.35">
      <c r="B15" s="22" t="s">
        <v>50</v>
      </c>
      <c r="D15" s="37">
        <f>'[2] 3-Statement Model'!H43</f>
        <v>65171</v>
      </c>
    </row>
    <row r="16" spans="2:14" ht="15.6" customHeight="1" x14ac:dyDescent="0.35">
      <c r="B16" s="22" t="s">
        <v>51</v>
      </c>
      <c r="D16" s="38">
        <f>'[2] 3-Statement Model'!I18</f>
        <v>9901.6</v>
      </c>
    </row>
    <row r="17" spans="2:14" ht="15.6" customHeight="1" x14ac:dyDescent="0.35">
      <c r="D17" s="39"/>
      <c r="E17" s="40"/>
      <c r="F17" s="40"/>
      <c r="G17" s="40"/>
      <c r="H17" s="40"/>
      <c r="I17" s="40"/>
      <c r="J17" s="40"/>
    </row>
    <row r="18" spans="2:14" ht="15.6" customHeight="1" thickBot="1" x14ac:dyDescent="0.4">
      <c r="B18" s="41" t="s">
        <v>52</v>
      </c>
      <c r="C18" s="42"/>
      <c r="D18" s="43" t="s">
        <v>53</v>
      </c>
      <c r="E18" s="44">
        <f>2025</f>
        <v>2025</v>
      </c>
      <c r="F18" s="44">
        <f>E18+1</f>
        <v>2026</v>
      </c>
      <c r="G18" s="44">
        <f t="shared" ref="G18:I18" si="0">F18+1</f>
        <v>2027</v>
      </c>
      <c r="H18" s="44">
        <f t="shared" si="0"/>
        <v>2028</v>
      </c>
      <c r="I18" s="44">
        <f t="shared" si="0"/>
        <v>2029</v>
      </c>
      <c r="J18" s="45" t="s">
        <v>54</v>
      </c>
    </row>
    <row r="19" spans="2:14" ht="15.6" customHeight="1" thickBot="1" x14ac:dyDescent="0.4">
      <c r="B19" s="40" t="s">
        <v>55</v>
      </c>
      <c r="C19" s="40"/>
      <c r="D19" s="46">
        <v>45565</v>
      </c>
      <c r="E19" s="47">
        <f>D19+365</f>
        <v>45930</v>
      </c>
      <c r="F19" s="47">
        <f t="shared" ref="F19:G19" si="1">E19+365</f>
        <v>46295</v>
      </c>
      <c r="G19" s="47">
        <f t="shared" si="1"/>
        <v>46660</v>
      </c>
      <c r="H19" s="47">
        <f>G19+366</f>
        <v>47026</v>
      </c>
      <c r="I19" s="47">
        <f>H19+365</f>
        <v>47391</v>
      </c>
      <c r="J19" s="46">
        <f>H19+365</f>
        <v>47391</v>
      </c>
      <c r="L19" s="48" t="s">
        <v>56</v>
      </c>
      <c r="M19" s="49"/>
      <c r="N19" s="49"/>
    </row>
    <row r="20" spans="2:14" ht="15.6" customHeight="1" x14ac:dyDescent="0.35">
      <c r="B20" s="22" t="s">
        <v>5</v>
      </c>
      <c r="D20" s="22" t="s">
        <v>57</v>
      </c>
      <c r="E20" s="50">
        <f>'[2] 3-Statement Model'!I34</f>
        <v>120668.13054130404</v>
      </c>
      <c r="F20" s="50">
        <f>'[2] 3-Statement Model'!J34</f>
        <v>132817.8142092487</v>
      </c>
      <c r="G20" s="50">
        <f>'[2] 3-Statement Model'!K34</f>
        <v>146190.81021798239</v>
      </c>
      <c r="H20" s="50">
        <f>'[2] 3-Statement Model'!L34</f>
        <v>160910.28992933041</v>
      </c>
      <c r="I20" s="50">
        <f>'[2] 3-Statement Model'!M34</f>
        <v>177111.82643104519</v>
      </c>
      <c r="J20" s="50" t="s">
        <v>57</v>
      </c>
      <c r="L20" s="40" t="s">
        <v>58</v>
      </c>
      <c r="M20" s="40"/>
      <c r="N20" s="51">
        <f>((I25)*(1+$D$8)/($D$7-$D$8))</f>
        <v>4367148.8053434808</v>
      </c>
    </row>
    <row r="21" spans="2:14" ht="15.6" customHeight="1" x14ac:dyDescent="0.35">
      <c r="B21" s="22" t="s">
        <v>59</v>
      </c>
      <c r="D21" s="22" t="s">
        <v>57</v>
      </c>
      <c r="E21" s="52">
        <f>'[2] 3-Statement Model'!I36</f>
        <v>20003.409192428047</v>
      </c>
      <c r="F21" s="52">
        <f>'[2] 3-Statement Model'!J36</f>
        <v>22017.487747206578</v>
      </c>
      <c r="G21" s="52">
        <f>'[2] 3-Statement Model'!K36</f>
        <v>24234.357355539836</v>
      </c>
      <c r="H21" s="52">
        <f>'[2] 3-Statement Model'!L36</f>
        <v>26674.436392522613</v>
      </c>
      <c r="I21" s="52">
        <f>'[2] 3-Statement Model'!M36</f>
        <v>29360.199093378636</v>
      </c>
      <c r="J21" s="52" t="s">
        <v>57</v>
      </c>
      <c r="L21" s="22" t="s">
        <v>14</v>
      </c>
      <c r="N21" s="53">
        <f>AVERAGE(N20,N22)</f>
        <v>4436336.9542255532</v>
      </c>
    </row>
    <row r="22" spans="2:14" ht="15.6" customHeight="1" x14ac:dyDescent="0.35">
      <c r="B22" s="22" t="s">
        <v>60</v>
      </c>
      <c r="D22" s="22" t="s">
        <v>57</v>
      </c>
      <c r="E22" s="54">
        <f>'[2] 3-Statement Model'!I66</f>
        <v>12466.20096327297</v>
      </c>
      <c r="F22" s="54">
        <f>'[2] 3-Statement Model'!J66</f>
        <v>11766.314120042578</v>
      </c>
      <c r="G22" s="54">
        <f>'[2] 3-Statement Model'!K66</f>
        <v>11257.428372242588</v>
      </c>
      <c r="H22" s="54">
        <f>'[2] 3-Statement Model'!L66</f>
        <v>10887.418981697854</v>
      </c>
      <c r="I22" s="54">
        <f>'[2] 3-Statement Model'!M66</f>
        <v>10618.386198439217</v>
      </c>
      <c r="J22" s="54" t="s">
        <v>57</v>
      </c>
      <c r="L22" s="22" t="s">
        <v>81</v>
      </c>
      <c r="N22" s="55">
        <f>((I20+I22)*24)</f>
        <v>4505525.1031076256</v>
      </c>
    </row>
    <row r="23" spans="2:14" ht="15.6" customHeight="1" x14ac:dyDescent="0.35">
      <c r="B23" s="22" t="s">
        <v>61</v>
      </c>
      <c r="D23" s="22" t="s">
        <v>57</v>
      </c>
      <c r="E23" s="56">
        <f>ABS('[2] 3-Statement Model'!I71)</f>
        <v>9901.6</v>
      </c>
      <c r="F23" s="56">
        <f>ABS('[2] 3-Statement Model'!J71)</f>
        <v>9901.6</v>
      </c>
      <c r="G23" s="56">
        <f>ABS('[2] 3-Statement Model'!K71)</f>
        <v>9901.6</v>
      </c>
      <c r="H23" s="56">
        <f>ABS('[2] 3-Statement Model'!L71)</f>
        <v>9901.6</v>
      </c>
      <c r="I23" s="56">
        <f>ABS('[2] 3-Statement Model'!M71)</f>
        <v>9901.6</v>
      </c>
      <c r="J23" s="56" t="s">
        <v>57</v>
      </c>
    </row>
    <row r="24" spans="2:14" ht="15.6" customHeight="1" x14ac:dyDescent="0.35">
      <c r="B24" s="22" t="s">
        <v>62</v>
      </c>
      <c r="D24" s="22" t="s">
        <v>57</v>
      </c>
      <c r="E24" s="38">
        <f>'[2] 3-Statement Model'!I67</f>
        <v>-16490.985161806231</v>
      </c>
      <c r="F24" s="38">
        <f>'[2] 3-Statement Model'!J67</f>
        <v>1122.6589205388664</v>
      </c>
      <c r="G24" s="38">
        <f>'[2] 3-Statement Model'!K67</f>
        <v>1235.6958151220169</v>
      </c>
      <c r="H24" s="38">
        <f>'[2] 3-Statement Model'!L67</f>
        <v>1360.1140289137547</v>
      </c>
      <c r="I24" s="38">
        <f>'[2] 3-Statement Model'!M67</f>
        <v>1497.0595101232757</v>
      </c>
      <c r="J24" s="38" t="s">
        <v>57</v>
      </c>
    </row>
    <row r="25" spans="2:14" ht="15.6" customHeight="1" x14ac:dyDescent="0.35">
      <c r="B25" s="22" t="s">
        <v>63</v>
      </c>
      <c r="D25" s="22" t="s">
        <v>57</v>
      </c>
      <c r="E25" s="57">
        <f>(E20-E21+E22-E23-E24)</f>
        <v>119720.30747395518</v>
      </c>
      <c r="F25" s="57">
        <f t="shared" ref="F25:I25" si="2">(F20-F21+F22-F23-F24)</f>
        <v>111542.38166154581</v>
      </c>
      <c r="G25" s="57">
        <f t="shared" si="2"/>
        <v>122076.58541956311</v>
      </c>
      <c r="H25" s="57">
        <f t="shared" si="2"/>
        <v>133861.55848959187</v>
      </c>
      <c r="I25" s="57">
        <f t="shared" si="2"/>
        <v>146971.35402598249</v>
      </c>
      <c r="J25" s="22" t="s">
        <v>57</v>
      </c>
    </row>
    <row r="26" spans="2:14" ht="15.6" customHeight="1" x14ac:dyDescent="0.35">
      <c r="B26" s="22" t="s">
        <v>64</v>
      </c>
      <c r="D26" s="58">
        <f>-I34</f>
        <v>-3516456.3200000003</v>
      </c>
      <c r="J26" s="58">
        <f>N21</f>
        <v>4436336.9542255532</v>
      </c>
    </row>
    <row r="27" spans="2:14" ht="15.6" customHeight="1" x14ac:dyDescent="0.35">
      <c r="B27" s="22" t="s">
        <v>65</v>
      </c>
      <c r="D27" s="59">
        <f>D26</f>
        <v>-3516456.3200000003</v>
      </c>
      <c r="E27" s="57">
        <f>E25</f>
        <v>119720.30747395518</v>
      </c>
      <c r="F27" s="57">
        <f t="shared" ref="F27:H27" si="3">F25</f>
        <v>111542.38166154581</v>
      </c>
      <c r="G27" s="57">
        <f t="shared" si="3"/>
        <v>122076.58541956311</v>
      </c>
      <c r="H27" s="57">
        <f t="shared" si="3"/>
        <v>133861.55848959187</v>
      </c>
      <c r="I27" s="57">
        <f>I25</f>
        <v>146971.35402598249</v>
      </c>
      <c r="J27" s="57">
        <f>J26+I27</f>
        <v>4583308.3082515355</v>
      </c>
    </row>
    <row r="28" spans="2:14" ht="15.6" customHeight="1" x14ac:dyDescent="0.35">
      <c r="D28" s="51"/>
      <c r="E28" s="51"/>
      <c r="F28" s="51"/>
      <c r="G28" s="51"/>
      <c r="H28" s="51"/>
      <c r="I28" s="51"/>
      <c r="J28" s="51"/>
    </row>
    <row r="30" spans="2:14" ht="15.6" customHeight="1" thickBot="1" x14ac:dyDescent="0.4">
      <c r="B30" s="48" t="s">
        <v>66</v>
      </c>
      <c r="C30" s="49"/>
      <c r="D30" s="49"/>
      <c r="G30" s="48" t="s">
        <v>67</v>
      </c>
      <c r="H30" s="49"/>
      <c r="I30" s="49"/>
      <c r="L30" s="48" t="s">
        <v>68</v>
      </c>
      <c r="M30" s="49"/>
      <c r="N30" s="49"/>
    </row>
    <row r="31" spans="2:14" ht="15.6" customHeight="1" x14ac:dyDescent="0.35">
      <c r="B31" s="40" t="s">
        <v>69</v>
      </c>
      <c r="C31" s="40"/>
      <c r="D31" s="51">
        <f>E25/(1+$D$7)^1+F25/(1+$D$7)^2+G25/(1+$D$7)^3+H25/(1+$D$7)^4+I25/(1+$D$7)^5+J26/(1+$D$7)^5</f>
        <v>3598934.3988509206</v>
      </c>
      <c r="G31" s="40" t="s">
        <v>2</v>
      </c>
      <c r="H31" s="40"/>
      <c r="I31" s="51">
        <f>D13*D12</f>
        <v>3495877.3200000003</v>
      </c>
      <c r="L31" s="40" t="s">
        <v>70</v>
      </c>
      <c r="M31" s="40"/>
      <c r="N31" s="60">
        <f>(N37/N35-1)</f>
        <v>2.3592955730757925E-2</v>
      </c>
    </row>
    <row r="32" spans="2:14" ht="15.6" customHeight="1" x14ac:dyDescent="0.35">
      <c r="B32" s="22" t="s">
        <v>71</v>
      </c>
      <c r="D32" s="56">
        <f>+D15</f>
        <v>65171</v>
      </c>
      <c r="G32" s="22" t="s">
        <v>72</v>
      </c>
      <c r="I32" s="56">
        <f>D14</f>
        <v>85750</v>
      </c>
      <c r="L32" s="22" t="s">
        <v>73</v>
      </c>
      <c r="N32" s="61">
        <f>IRR(D27:J27)</f>
        <v>7.2907247617594928E-2</v>
      </c>
    </row>
    <row r="33" spans="2:14" ht="15.6" customHeight="1" x14ac:dyDescent="0.35">
      <c r="B33" s="22" t="s">
        <v>74</v>
      </c>
      <c r="D33" s="56">
        <f>+D14</f>
        <v>85750</v>
      </c>
      <c r="G33" s="22" t="s">
        <v>75</v>
      </c>
      <c r="I33" s="56">
        <f>+D15</f>
        <v>65171</v>
      </c>
    </row>
    <row r="34" spans="2:14" ht="15.6" customHeight="1" thickBot="1" x14ac:dyDescent="0.4">
      <c r="B34" s="22" t="s">
        <v>76</v>
      </c>
      <c r="D34" s="57">
        <f>D31+D32-D33</f>
        <v>3578355.3988509206</v>
      </c>
      <c r="G34" s="22" t="s">
        <v>69</v>
      </c>
      <c r="I34" s="57">
        <f>I31+I32-I33</f>
        <v>3516456.3200000003</v>
      </c>
      <c r="L34" s="48" t="s">
        <v>77</v>
      </c>
      <c r="M34" s="49"/>
      <c r="N34" s="49"/>
    </row>
    <row r="35" spans="2:14" ht="15.6" customHeight="1" x14ac:dyDescent="0.35">
      <c r="D35" s="22"/>
      <c r="I35" s="62"/>
      <c r="L35" s="22" t="s">
        <v>67</v>
      </c>
      <c r="N35" s="63">
        <f>I36</f>
        <v>231.27</v>
      </c>
    </row>
    <row r="36" spans="2:14" ht="15.6" customHeight="1" x14ac:dyDescent="0.35">
      <c r="B36" s="22" t="s">
        <v>78</v>
      </c>
      <c r="D36" s="63">
        <f>D34/D13</f>
        <v>236.72634287185238</v>
      </c>
      <c r="G36" s="22" t="s">
        <v>78</v>
      </c>
      <c r="I36" s="63">
        <f>D12</f>
        <v>231.27</v>
      </c>
      <c r="L36" s="22" t="s">
        <v>79</v>
      </c>
      <c r="N36" s="64">
        <f>N37/N35-1</f>
        <v>2.3592955730757925E-2</v>
      </c>
    </row>
    <row r="37" spans="2:14" ht="15.6" customHeight="1" x14ac:dyDescent="0.35">
      <c r="D37" s="22"/>
      <c r="L37" s="22" t="s">
        <v>66</v>
      </c>
      <c r="N37" s="63">
        <f>D36</f>
        <v>236.72634287185238</v>
      </c>
    </row>
    <row r="38" spans="2:14" ht="15.6" customHeight="1" x14ac:dyDescent="0.35">
      <c r="I38" s="21"/>
    </row>
    <row r="39" spans="2:14" ht="15.6" customHeight="1" x14ac:dyDescent="0.35">
      <c r="H39" s="21"/>
    </row>
    <row r="40" spans="2:14" ht="15.6" customHeight="1" thickBot="1" x14ac:dyDescent="0.4">
      <c r="B40" s="48"/>
      <c r="C40" s="49"/>
      <c r="D40" s="65"/>
      <c r="E40" s="49"/>
      <c r="F40" s="49"/>
      <c r="G40" s="49"/>
      <c r="H40" s="49"/>
      <c r="I40" s="49"/>
      <c r="J40" s="49"/>
      <c r="K40" s="49"/>
      <c r="L40" s="49"/>
      <c r="M40" s="49"/>
      <c r="N40" s="49"/>
    </row>
    <row r="41" spans="2:14" ht="15.6" customHeight="1" x14ac:dyDescent="0.35">
      <c r="B41" s="40"/>
      <c r="C41" s="40"/>
      <c r="D41" s="66"/>
      <c r="E41" s="40"/>
      <c r="F41" s="40"/>
      <c r="G41" s="40"/>
      <c r="H41" s="40"/>
      <c r="I41" s="40"/>
      <c r="J41" s="40"/>
      <c r="K41" s="40"/>
      <c r="L41" s="40"/>
      <c r="M41" s="40"/>
      <c r="N41" s="67"/>
    </row>
    <row r="42" spans="2:14" ht="15.6" customHeight="1" x14ac:dyDescent="0.35">
      <c r="B42" s="186"/>
      <c r="C42" s="186"/>
      <c r="D42" s="187"/>
      <c r="E42" s="186"/>
      <c r="F42" s="186"/>
      <c r="G42" s="186"/>
      <c r="H42" s="186"/>
      <c r="N42" s="68"/>
    </row>
    <row r="43" spans="2:14" ht="15.6" customHeight="1" x14ac:dyDescent="0.4">
      <c r="B43" s="188"/>
      <c r="C43" s="189"/>
      <c r="D43" s="189"/>
      <c r="E43" s="190"/>
      <c r="F43" s="190"/>
      <c r="G43" s="190"/>
      <c r="H43" s="190"/>
      <c r="N43" s="68"/>
    </row>
    <row r="44" spans="2:14" ht="15.6" customHeight="1" x14ac:dyDescent="0.35">
      <c r="B44" s="197"/>
      <c r="C44" s="197"/>
      <c r="D44" s="197"/>
      <c r="E44" s="197"/>
      <c r="F44" s="197"/>
      <c r="G44" s="197"/>
      <c r="H44" s="197"/>
      <c r="N44" s="68"/>
    </row>
    <row r="45" spans="2:14" ht="15.6" customHeight="1" x14ac:dyDescent="0.35">
      <c r="B45" s="68"/>
      <c r="C45" s="68"/>
      <c r="D45" s="68"/>
      <c r="E45" s="68"/>
      <c r="F45" s="68"/>
      <c r="G45" s="68"/>
      <c r="H45" s="68"/>
      <c r="N45" s="68"/>
    </row>
    <row r="46" spans="2:14" ht="15.6" customHeight="1" x14ac:dyDescent="0.35">
      <c r="B46" s="68"/>
      <c r="C46" s="191"/>
      <c r="D46" s="192"/>
      <c r="E46" s="192"/>
      <c r="F46" s="192"/>
      <c r="G46" s="192"/>
      <c r="H46" s="192"/>
      <c r="N46" s="68"/>
    </row>
    <row r="47" spans="2:14" ht="15.6" customHeight="1" x14ac:dyDescent="0.35">
      <c r="B47" s="68"/>
      <c r="C47" s="193"/>
      <c r="D47" s="180"/>
      <c r="E47" s="194"/>
      <c r="F47" s="180"/>
      <c r="G47" s="195"/>
      <c r="H47" s="196"/>
      <c r="N47" s="69"/>
    </row>
    <row r="48" spans="2:14" ht="15.6" customHeight="1" x14ac:dyDescent="0.35">
      <c r="B48" s="68"/>
      <c r="C48" s="193"/>
      <c r="D48" s="180"/>
      <c r="E48" s="194"/>
      <c r="F48" s="180"/>
      <c r="G48" s="195"/>
      <c r="H48" s="196"/>
      <c r="N48" s="70"/>
    </row>
    <row r="49" spans="2:8" ht="15.6" customHeight="1" x14ac:dyDescent="0.35">
      <c r="B49" s="68"/>
      <c r="C49" s="193"/>
      <c r="D49" s="180"/>
      <c r="E49" s="194"/>
      <c r="F49" s="180"/>
      <c r="G49" s="195"/>
      <c r="H49" s="196"/>
    </row>
    <row r="50" spans="2:8" ht="15.6" customHeight="1" x14ac:dyDescent="0.35">
      <c r="B50" s="68"/>
      <c r="C50" s="193"/>
      <c r="D50" s="180"/>
      <c r="E50" s="194"/>
      <c r="F50" s="180"/>
      <c r="G50" s="195"/>
      <c r="H50" s="196"/>
    </row>
    <row r="51" spans="2:8" ht="15.6" customHeight="1" x14ac:dyDescent="0.35">
      <c r="B51" s="68"/>
      <c r="C51" s="193"/>
      <c r="D51" s="180"/>
      <c r="E51" s="194"/>
      <c r="F51" s="180"/>
      <c r="G51" s="195"/>
      <c r="H51" s="196"/>
    </row>
    <row r="52" spans="2:8" ht="15.6" customHeight="1" x14ac:dyDescent="0.35">
      <c r="B52" s="68"/>
      <c r="C52" s="105"/>
      <c r="D52" s="106"/>
      <c r="E52" s="107"/>
      <c r="F52" s="106"/>
      <c r="G52" s="108"/>
      <c r="H52" s="6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B42D-698B-446F-8C0B-13EFB4EE961B}">
  <dimension ref="A1:Z1000"/>
  <sheetViews>
    <sheetView workbookViewId="0"/>
  </sheetViews>
  <sheetFormatPr defaultColWidth="14.44140625" defaultRowHeight="15" customHeight="1" outlineLevelRow="1" x14ac:dyDescent="0.25"/>
  <cols>
    <col min="1" max="1" width="44.109375" style="1" bestFit="1" customWidth="1"/>
    <col min="2" max="2" width="12.44140625" style="1" customWidth="1"/>
    <col min="3" max="3" width="11.109375" style="1" customWidth="1"/>
    <col min="4" max="13" width="11.5546875" style="1" customWidth="1"/>
    <col min="14" max="26" width="9.109375" style="1" customWidth="1"/>
    <col min="27" max="16384" width="14.44140625" style="1"/>
  </cols>
  <sheetData>
    <row r="1" spans="1:26" ht="15.6" x14ac:dyDescent="0.3">
      <c r="A1" s="113"/>
      <c r="B1" s="114"/>
      <c r="C1" s="115"/>
      <c r="D1" s="240" t="s">
        <v>105</v>
      </c>
      <c r="E1" s="241"/>
      <c r="F1" s="241"/>
      <c r="G1" s="241"/>
      <c r="H1" s="241"/>
      <c r="I1" s="238" t="s">
        <v>106</v>
      </c>
      <c r="J1" s="239"/>
      <c r="K1" s="239"/>
      <c r="L1" s="239"/>
      <c r="M1" s="239"/>
      <c r="N1" s="116"/>
      <c r="O1" s="116"/>
      <c r="P1" s="116"/>
      <c r="Q1" s="116"/>
      <c r="R1" s="116"/>
      <c r="S1" s="116"/>
      <c r="T1" s="116"/>
      <c r="U1" s="116"/>
      <c r="V1" s="116"/>
      <c r="W1" s="116"/>
      <c r="X1" s="116"/>
      <c r="Y1" s="116"/>
      <c r="Z1" s="116"/>
    </row>
    <row r="2" spans="1:26" ht="24" customHeight="1" x14ac:dyDescent="0.35">
      <c r="A2" s="117" t="s">
        <v>107</v>
      </c>
      <c r="B2" s="118"/>
      <c r="C2" s="119"/>
      <c r="D2" s="120">
        <v>2020</v>
      </c>
      <c r="E2" s="120">
        <f t="shared" ref="E2:M2" si="0">+D2+1</f>
        <v>2021</v>
      </c>
      <c r="F2" s="120">
        <f t="shared" si="0"/>
        <v>2022</v>
      </c>
      <c r="G2" s="120">
        <f t="shared" si="0"/>
        <v>2023</v>
      </c>
      <c r="H2" s="120">
        <f t="shared" si="0"/>
        <v>2024</v>
      </c>
      <c r="I2" s="121">
        <f t="shared" si="0"/>
        <v>2025</v>
      </c>
      <c r="J2" s="121">
        <f t="shared" si="0"/>
        <v>2026</v>
      </c>
      <c r="K2" s="121">
        <f t="shared" si="0"/>
        <v>2027</v>
      </c>
      <c r="L2" s="121">
        <f t="shared" si="0"/>
        <v>2028</v>
      </c>
      <c r="M2" s="121">
        <f t="shared" si="0"/>
        <v>2029</v>
      </c>
      <c r="N2" s="122"/>
      <c r="O2" s="122"/>
      <c r="P2" s="122"/>
      <c r="Q2" s="116"/>
      <c r="R2" s="116"/>
      <c r="S2" s="116"/>
      <c r="T2" s="116"/>
      <c r="U2" s="116"/>
      <c r="V2" s="116"/>
      <c r="W2" s="116"/>
      <c r="X2" s="116"/>
      <c r="Y2" s="116"/>
      <c r="Z2" s="116"/>
    </row>
    <row r="3" spans="1:26" ht="15.6" x14ac:dyDescent="0.3">
      <c r="A3" s="123"/>
      <c r="B3" s="123"/>
      <c r="C3" s="124"/>
      <c r="D3" s="125"/>
      <c r="E3" s="125"/>
      <c r="F3" s="125"/>
      <c r="G3" s="125"/>
      <c r="H3" s="125"/>
      <c r="I3" s="125"/>
      <c r="J3" s="125"/>
      <c r="K3" s="125"/>
      <c r="L3" s="125"/>
      <c r="M3" s="125"/>
      <c r="N3" s="116"/>
      <c r="O3" s="116"/>
      <c r="P3" s="116"/>
      <c r="Q3" s="116"/>
      <c r="R3" s="116"/>
      <c r="S3" s="116"/>
      <c r="T3" s="116"/>
      <c r="U3" s="116"/>
      <c r="V3" s="116"/>
      <c r="W3" s="116"/>
      <c r="X3" s="116"/>
      <c r="Y3" s="116"/>
      <c r="Z3" s="116"/>
    </row>
    <row r="4" spans="1:26" ht="15.6" x14ac:dyDescent="0.3">
      <c r="A4" s="116"/>
      <c r="B4" s="116"/>
      <c r="C4" s="126"/>
      <c r="D4" s="116"/>
      <c r="E4" s="116"/>
      <c r="F4" s="116"/>
      <c r="G4" s="116"/>
      <c r="H4" s="116"/>
      <c r="I4" s="116"/>
      <c r="J4" s="116"/>
      <c r="K4" s="116"/>
      <c r="L4" s="116"/>
      <c r="M4" s="116"/>
      <c r="N4" s="116"/>
      <c r="O4" s="116"/>
      <c r="P4" s="116"/>
      <c r="Q4" s="116"/>
      <c r="R4" s="116"/>
      <c r="S4" s="116"/>
      <c r="T4" s="116"/>
      <c r="U4" s="116"/>
      <c r="V4" s="116"/>
      <c r="W4" s="116"/>
      <c r="X4" s="116"/>
      <c r="Y4" s="116"/>
      <c r="Z4" s="116"/>
    </row>
    <row r="5" spans="1:26" ht="18" x14ac:dyDescent="0.3">
      <c r="A5" s="127" t="s">
        <v>39</v>
      </c>
      <c r="B5" s="128"/>
      <c r="C5" s="128"/>
      <c r="D5" s="128"/>
      <c r="E5" s="128"/>
      <c r="F5" s="128"/>
      <c r="G5" s="128"/>
      <c r="H5" s="128"/>
      <c r="I5" s="128"/>
      <c r="J5" s="128"/>
      <c r="K5" s="128"/>
      <c r="L5" s="128"/>
      <c r="M5" s="128"/>
      <c r="N5" s="116"/>
      <c r="O5" s="116"/>
      <c r="P5" s="116"/>
      <c r="Q5" s="116"/>
      <c r="R5" s="116"/>
      <c r="S5" s="116"/>
      <c r="T5" s="116"/>
      <c r="U5" s="116"/>
      <c r="V5" s="116"/>
      <c r="W5" s="116"/>
      <c r="X5" s="116"/>
      <c r="Y5" s="116"/>
      <c r="Z5" s="116"/>
    </row>
    <row r="6" spans="1:26" ht="15.6" outlineLevel="1" x14ac:dyDescent="0.3">
      <c r="A6" s="116"/>
      <c r="B6" s="116"/>
      <c r="C6" s="126"/>
      <c r="D6" s="116"/>
      <c r="E6" s="116"/>
      <c r="F6" s="116"/>
      <c r="G6" s="116"/>
      <c r="H6" s="116"/>
      <c r="I6" s="129"/>
      <c r="J6" s="129"/>
      <c r="K6" s="129"/>
      <c r="L6" s="129"/>
      <c r="M6" s="129"/>
      <c r="N6" s="116"/>
      <c r="O6" s="116"/>
      <c r="P6" s="116"/>
      <c r="Q6" s="116"/>
      <c r="R6" s="116"/>
      <c r="S6" s="116"/>
      <c r="T6" s="116"/>
      <c r="U6" s="116"/>
      <c r="V6" s="116"/>
      <c r="W6" s="116"/>
      <c r="X6" s="116"/>
      <c r="Y6" s="116"/>
      <c r="Z6" s="116"/>
    </row>
    <row r="7" spans="1:26" ht="15.6" outlineLevel="1" x14ac:dyDescent="0.3">
      <c r="A7" s="130" t="s">
        <v>108</v>
      </c>
      <c r="B7" s="116"/>
      <c r="C7" s="126"/>
      <c r="D7" s="116"/>
      <c r="E7" s="116"/>
      <c r="F7" s="116"/>
      <c r="G7" s="116"/>
      <c r="H7" s="116"/>
      <c r="I7" s="129"/>
      <c r="J7" s="129"/>
      <c r="K7" s="129"/>
      <c r="L7" s="129"/>
      <c r="M7" s="129"/>
      <c r="N7" s="116"/>
      <c r="O7" s="116"/>
      <c r="P7" s="116"/>
      <c r="Q7" s="116"/>
      <c r="R7" s="116"/>
      <c r="S7" s="116"/>
      <c r="T7" s="116"/>
      <c r="U7" s="116"/>
      <c r="V7" s="116"/>
      <c r="W7" s="116"/>
      <c r="X7" s="116"/>
      <c r="Y7" s="116"/>
      <c r="Z7" s="116"/>
    </row>
    <row r="8" spans="1:26" ht="15.6" outlineLevel="1" x14ac:dyDescent="0.3">
      <c r="A8" s="131" t="s">
        <v>109</v>
      </c>
      <c r="B8" s="132"/>
      <c r="C8" s="133"/>
      <c r="D8" s="134">
        <f ca="1">-D8</f>
        <v>0</v>
      </c>
      <c r="E8" s="134">
        <f>(E26/D26-1)</f>
        <v>0.33259384733074704</v>
      </c>
      <c r="F8" s="134">
        <f>(F26/E26-1)</f>
        <v>7.7937876041846099E-2</v>
      </c>
      <c r="G8" s="134">
        <f t="shared" ref="G8:H8" si="1">(G26/F26-1)</f>
        <v>-2.800460530319937E-2</v>
      </c>
      <c r="H8" s="134">
        <f t="shared" si="1"/>
        <v>2.021994077514111E-2</v>
      </c>
      <c r="I8" s="135">
        <f>AVERAGE($E8:$H8)</f>
        <v>0.10068676471113372</v>
      </c>
      <c r="J8" s="135">
        <f>AVERAGE($E8:$H8)</f>
        <v>0.10068676471113372</v>
      </c>
      <c r="K8" s="135">
        <f t="shared" ref="K8:M8" si="2">AVERAGE($E8:$H8)</f>
        <v>0.10068676471113372</v>
      </c>
      <c r="L8" s="135">
        <f t="shared" si="2"/>
        <v>0.10068676471113372</v>
      </c>
      <c r="M8" s="135">
        <f t="shared" si="2"/>
        <v>0.10068676471113372</v>
      </c>
      <c r="N8" s="116"/>
      <c r="O8" s="116"/>
      <c r="P8" s="116"/>
      <c r="Q8" s="116"/>
      <c r="R8" s="116"/>
      <c r="S8" s="116"/>
      <c r="T8" s="116"/>
      <c r="U8" s="116"/>
      <c r="V8" s="116"/>
      <c r="W8" s="116"/>
      <c r="X8" s="116"/>
      <c r="Y8" s="116"/>
      <c r="Z8" s="116"/>
    </row>
    <row r="9" spans="1:26" ht="15.6" outlineLevel="1" x14ac:dyDescent="0.3">
      <c r="A9" s="116" t="s">
        <v>110</v>
      </c>
      <c r="B9" s="116"/>
      <c r="C9" s="126"/>
      <c r="D9" s="136">
        <f>(D27/D26)</f>
        <v>0.61766752272189129</v>
      </c>
      <c r="E9" s="136">
        <f t="shared" ref="E9:H9" si="3">(E27/E26)</f>
        <v>0.58220640374832222</v>
      </c>
      <c r="F9" s="136">
        <f t="shared" si="3"/>
        <v>0.56690369438639909</v>
      </c>
      <c r="G9" s="136">
        <f>(G27/G26)</f>
        <v>0.55868870422792438</v>
      </c>
      <c r="H9" s="136">
        <f t="shared" si="3"/>
        <v>0.53793650184766073</v>
      </c>
      <c r="I9" s="137">
        <f>AVERAGE($D9:$H9)</f>
        <v>0.57268056538643963</v>
      </c>
      <c r="J9" s="137">
        <f t="shared" ref="J9:M9" si="4">AVERAGE($D9:$H9)</f>
        <v>0.57268056538643963</v>
      </c>
      <c r="K9" s="137">
        <f t="shared" si="4"/>
        <v>0.57268056538643963</v>
      </c>
      <c r="L9" s="137">
        <f t="shared" si="4"/>
        <v>0.57268056538643963</v>
      </c>
      <c r="M9" s="137">
        <f t="shared" si="4"/>
        <v>0.57268056538643963</v>
      </c>
      <c r="N9" s="116"/>
      <c r="O9" s="116"/>
      <c r="P9" s="116"/>
      <c r="Q9" s="116"/>
      <c r="R9" s="116"/>
      <c r="S9" s="116"/>
      <c r="T9" s="116"/>
      <c r="U9" s="116"/>
      <c r="V9" s="116"/>
      <c r="W9" s="116"/>
      <c r="X9" s="116"/>
      <c r="Y9" s="116"/>
      <c r="Z9" s="116"/>
    </row>
    <row r="10" spans="1:26" ht="15.6" outlineLevel="1" x14ac:dyDescent="0.3">
      <c r="A10" s="116" t="s">
        <v>111</v>
      </c>
      <c r="B10" s="116"/>
      <c r="C10" s="126"/>
      <c r="D10" s="138" t="s">
        <v>57</v>
      </c>
      <c r="E10" s="138" t="s">
        <v>57</v>
      </c>
      <c r="F10" s="138" t="s">
        <v>57</v>
      </c>
      <c r="G10" s="138" t="s">
        <v>57</v>
      </c>
      <c r="H10" s="138" t="s">
        <v>57</v>
      </c>
      <c r="I10" s="138" t="s">
        <v>57</v>
      </c>
      <c r="J10" s="138" t="s">
        <v>57</v>
      </c>
      <c r="K10" s="138" t="s">
        <v>57</v>
      </c>
      <c r="L10" s="138" t="s">
        <v>57</v>
      </c>
      <c r="M10" s="138" t="s">
        <v>57</v>
      </c>
      <c r="N10" s="116"/>
      <c r="O10" s="116"/>
      <c r="P10" s="116"/>
      <c r="Q10" s="116"/>
      <c r="R10" s="116"/>
      <c r="S10" s="116"/>
      <c r="T10" s="116"/>
      <c r="U10" s="116"/>
      <c r="V10" s="116"/>
      <c r="W10" s="116"/>
      <c r="X10" s="116"/>
      <c r="Y10" s="116"/>
      <c r="Z10" s="116"/>
    </row>
    <row r="11" spans="1:26" ht="15.6" outlineLevel="1" x14ac:dyDescent="0.3">
      <c r="A11" s="116" t="s">
        <v>112</v>
      </c>
      <c r="B11" s="116"/>
      <c r="C11" s="126"/>
      <c r="D11" s="138" t="s">
        <v>57</v>
      </c>
      <c r="E11" s="138" t="s">
        <v>57</v>
      </c>
      <c r="F11" s="138" t="s">
        <v>57</v>
      </c>
      <c r="G11" s="138" t="s">
        <v>57</v>
      </c>
      <c r="H11" s="138" t="s">
        <v>57</v>
      </c>
      <c r="I11" s="138" t="s">
        <v>57</v>
      </c>
      <c r="J11" s="138" t="s">
        <v>57</v>
      </c>
      <c r="K11" s="138" t="s">
        <v>57</v>
      </c>
      <c r="L11" s="138" t="s">
        <v>57</v>
      </c>
      <c r="M11" s="138" t="s">
        <v>57</v>
      </c>
      <c r="N11" s="116"/>
      <c r="O11" s="116"/>
      <c r="P11" s="116"/>
      <c r="Q11" s="116"/>
      <c r="R11" s="116"/>
      <c r="S11" s="116"/>
      <c r="T11" s="116"/>
      <c r="U11" s="116"/>
      <c r="V11" s="116"/>
      <c r="W11" s="116"/>
      <c r="X11" s="116"/>
      <c r="Y11" s="116"/>
      <c r="Z11" s="116"/>
    </row>
    <row r="12" spans="1:26" ht="15.6" outlineLevel="1" x14ac:dyDescent="0.3">
      <c r="A12" s="116" t="s">
        <v>113</v>
      </c>
      <c r="B12" s="116"/>
      <c r="C12" s="126"/>
      <c r="D12" s="138">
        <f>(D66/D46)</f>
        <v>0.30071261491595497</v>
      </c>
      <c r="E12" s="138">
        <f>(E66/E46)</f>
        <v>0.28610547667342801</v>
      </c>
      <c r="F12" s="138">
        <f t="shared" ref="F12:H12" si="5">(F66/F46)</f>
        <v>0.26364650853574567</v>
      </c>
      <c r="G12" s="138">
        <f>(G66/G46)</f>
        <v>0.26350223035571313</v>
      </c>
      <c r="H12" s="138">
        <f t="shared" si="5"/>
        <v>0.25054728546409805</v>
      </c>
      <c r="I12" s="137">
        <f>AVERAGE($D12:$H12)</f>
        <v>0.27290282318898795</v>
      </c>
      <c r="J12" s="137">
        <f t="shared" ref="J12:M12" si="6">AVERAGE($D12:$H12)</f>
        <v>0.27290282318898795</v>
      </c>
      <c r="K12" s="137">
        <f t="shared" si="6"/>
        <v>0.27290282318898795</v>
      </c>
      <c r="L12" s="137">
        <f t="shared" si="6"/>
        <v>0.27290282318898795</v>
      </c>
      <c r="M12" s="137">
        <f t="shared" si="6"/>
        <v>0.27290282318898795</v>
      </c>
      <c r="N12" s="116"/>
      <c r="O12" s="116"/>
      <c r="P12" s="116"/>
      <c r="Q12" s="116"/>
      <c r="R12" s="116"/>
      <c r="S12" s="116"/>
      <c r="T12" s="116"/>
      <c r="U12" s="116"/>
      <c r="V12" s="116"/>
      <c r="W12" s="116"/>
      <c r="X12" s="116"/>
      <c r="Y12" s="116"/>
      <c r="Z12" s="116"/>
    </row>
    <row r="13" spans="1:26" ht="15.6" outlineLevel="1" x14ac:dyDescent="0.3">
      <c r="A13" s="116" t="s">
        <v>114</v>
      </c>
      <c r="B13" s="116"/>
      <c r="C13" s="126"/>
      <c r="D13" s="138">
        <f>-B3</f>
        <v>0</v>
      </c>
      <c r="E13" s="138" t="s">
        <v>57</v>
      </c>
      <c r="F13" s="138" t="s">
        <v>57</v>
      </c>
      <c r="G13" s="138" t="s">
        <v>57</v>
      </c>
      <c r="H13" s="138" t="s">
        <v>57</v>
      </c>
      <c r="I13" s="138" t="s">
        <v>57</v>
      </c>
      <c r="J13" s="138" t="s">
        <v>57</v>
      </c>
      <c r="K13" s="138" t="s">
        <v>57</v>
      </c>
      <c r="L13" s="138" t="s">
        <v>57</v>
      </c>
      <c r="M13" s="138" t="s">
        <v>57</v>
      </c>
      <c r="N13" s="116"/>
      <c r="O13" s="116"/>
      <c r="P13" s="116"/>
      <c r="Q13" s="116"/>
      <c r="R13" s="116"/>
      <c r="S13" s="116"/>
      <c r="T13" s="116"/>
      <c r="U13" s="116"/>
      <c r="V13" s="116"/>
      <c r="W13" s="116"/>
      <c r="X13" s="116"/>
      <c r="Y13" s="116"/>
      <c r="Z13" s="116"/>
    </row>
    <row r="14" spans="1:26" ht="15.6" outlineLevel="1" x14ac:dyDescent="0.3">
      <c r="A14" s="116" t="s">
        <v>115</v>
      </c>
      <c r="B14" s="139"/>
      <c r="C14" s="140"/>
      <c r="D14" s="138">
        <f>(D36/D34)</f>
        <v>0.14602944726043929</v>
      </c>
      <c r="E14" s="138">
        <f>(E36/E34)</f>
        <v>0.13333761668303518</v>
      </c>
      <c r="F14" s="138">
        <f>(F36/F34)</f>
        <v>0.16159146663094351</v>
      </c>
      <c r="G14" s="138">
        <f>(G36/G34)</f>
        <v>0.14646416041854401</v>
      </c>
      <c r="H14" s="138">
        <f>(H36/H34)</f>
        <v>0.24143780028567718</v>
      </c>
      <c r="I14" s="137">
        <f>(AVERAGE($D14:$H14))</f>
        <v>0.16577209825572783</v>
      </c>
      <c r="J14" s="137">
        <f t="shared" ref="J14:M14" si="7">(AVERAGE($D14:$H14))</f>
        <v>0.16577209825572783</v>
      </c>
      <c r="K14" s="137">
        <f t="shared" si="7"/>
        <v>0.16577209825572783</v>
      </c>
      <c r="L14" s="137">
        <f t="shared" si="7"/>
        <v>0.16577209825572783</v>
      </c>
      <c r="M14" s="137">
        <f t="shared" si="7"/>
        <v>0.16577209825572783</v>
      </c>
      <c r="N14" s="116"/>
      <c r="O14" s="116"/>
      <c r="P14" s="116"/>
      <c r="Q14" s="116"/>
      <c r="R14" s="116"/>
      <c r="S14" s="116"/>
      <c r="T14" s="116"/>
      <c r="U14" s="116"/>
      <c r="V14" s="116"/>
      <c r="W14" s="116"/>
      <c r="X14" s="116"/>
      <c r="Y14" s="116"/>
      <c r="Z14" s="116"/>
    </row>
    <row r="15" spans="1:26" ht="15.6" outlineLevel="1" x14ac:dyDescent="0.3">
      <c r="A15" s="116" t="s">
        <v>116</v>
      </c>
      <c r="B15" s="116"/>
      <c r="C15" s="141"/>
      <c r="D15" s="116">
        <f>(D44/D26)*365</f>
        <v>49.78753437881354</v>
      </c>
      <c r="E15" s="116">
        <f t="shared" ref="E15:H16" si="8">(E44/E26)*365</f>
        <v>51.390968708397914</v>
      </c>
      <c r="F15" s="116">
        <f t="shared" si="8"/>
        <v>56.400204905560855</v>
      </c>
      <c r="G15" s="116">
        <f>(G44/G26)*365</f>
        <v>58.075648668745188</v>
      </c>
      <c r="H15" s="116">
        <f t="shared" si="8"/>
        <v>61.832559745291348</v>
      </c>
      <c r="I15" s="129">
        <f>AVERAGE($D15:$H15)</f>
        <v>55.49738328136177</v>
      </c>
      <c r="J15" s="129">
        <f t="shared" ref="J15:M17" si="9">AVERAGE($D15:$H15)</f>
        <v>55.49738328136177</v>
      </c>
      <c r="K15" s="129">
        <f t="shared" si="9"/>
        <v>55.49738328136177</v>
      </c>
      <c r="L15" s="129">
        <f t="shared" si="9"/>
        <v>55.49738328136177</v>
      </c>
      <c r="M15" s="129">
        <f t="shared" si="9"/>
        <v>55.49738328136177</v>
      </c>
      <c r="N15" s="116"/>
      <c r="O15" s="116"/>
      <c r="P15" s="116"/>
      <c r="Q15" s="116"/>
      <c r="R15" s="116"/>
      <c r="S15" s="116"/>
      <c r="T15" s="116"/>
      <c r="U15" s="116"/>
      <c r="V15" s="116"/>
      <c r="W15" s="116"/>
      <c r="X15" s="116"/>
      <c r="Y15" s="116"/>
      <c r="Z15" s="116"/>
    </row>
    <row r="16" spans="1:26" ht="15.6" outlineLevel="1" x14ac:dyDescent="0.3">
      <c r="A16" s="116" t="s">
        <v>117</v>
      </c>
      <c r="B16" s="116"/>
      <c r="C16" s="141"/>
      <c r="D16" s="116">
        <f>(D45/D27)*365</f>
        <v>8.7418833562358831</v>
      </c>
      <c r="E16" s="116">
        <f t="shared" si="8"/>
        <v>11.27659274770989</v>
      </c>
      <c r="F16" s="116">
        <f>(F45/F27)*365</f>
        <v>8.0756980666171607</v>
      </c>
      <c r="G16" s="116">
        <f t="shared" si="8"/>
        <v>10.791292490321617</v>
      </c>
      <c r="H16" s="116">
        <f t="shared" si="8"/>
        <v>12.642570548414087</v>
      </c>
      <c r="I16" s="129">
        <f>AVERAGE($D16:$H16)</f>
        <v>10.305607441859726</v>
      </c>
      <c r="J16" s="129">
        <f t="shared" si="9"/>
        <v>10.305607441859726</v>
      </c>
      <c r="K16" s="129">
        <f t="shared" si="9"/>
        <v>10.305607441859726</v>
      </c>
      <c r="L16" s="129">
        <f t="shared" si="9"/>
        <v>10.305607441859726</v>
      </c>
      <c r="M16" s="129">
        <f t="shared" si="9"/>
        <v>10.305607441859726</v>
      </c>
      <c r="N16" s="116"/>
      <c r="O16" s="116"/>
      <c r="P16" s="116"/>
      <c r="Q16" s="116"/>
      <c r="R16" s="116"/>
      <c r="S16" s="116"/>
      <c r="T16" s="116"/>
      <c r="U16" s="116"/>
      <c r="V16" s="116"/>
      <c r="W16" s="116"/>
      <c r="X16" s="116"/>
      <c r="Y16" s="116"/>
      <c r="Z16" s="116"/>
    </row>
    <row r="17" spans="1:26" ht="15.6" outlineLevel="1" x14ac:dyDescent="0.3">
      <c r="A17" s="116" t="s">
        <v>118</v>
      </c>
      <c r="B17" s="116"/>
      <c r="C17" s="141"/>
      <c r="D17" s="116">
        <f>(D50/D27)*365</f>
        <v>117.29751885774273</v>
      </c>
      <c r="E17" s="116">
        <f>(E50/E27)*365</f>
        <v>91.386672989609409</v>
      </c>
      <c r="F17" s="116">
        <f t="shared" ref="F17:H17" si="10">(F50/F27)*365</f>
        <v>80.237758671593326</v>
      </c>
      <c r="G17" s="116">
        <f t="shared" si="10"/>
        <v>84.96672690847447</v>
      </c>
      <c r="H17" s="116">
        <f t="shared" si="10"/>
        <v>79.624248878071043</v>
      </c>
      <c r="I17" s="129">
        <f>AVERAGE($D17:$H17)</f>
        <v>90.702585261098193</v>
      </c>
      <c r="J17" s="129">
        <f t="shared" si="9"/>
        <v>90.702585261098193</v>
      </c>
      <c r="K17" s="129">
        <f t="shared" si="9"/>
        <v>90.702585261098193</v>
      </c>
      <c r="L17" s="129">
        <f t="shared" si="9"/>
        <v>90.702585261098193</v>
      </c>
      <c r="M17" s="129">
        <f t="shared" si="9"/>
        <v>90.702585261098193</v>
      </c>
      <c r="N17" s="116"/>
      <c r="O17" s="116"/>
      <c r="P17" s="116"/>
      <c r="Q17" s="116"/>
      <c r="R17" s="116"/>
      <c r="S17" s="116"/>
      <c r="T17" s="116"/>
      <c r="U17" s="116"/>
      <c r="V17" s="116"/>
      <c r="W17" s="116"/>
      <c r="X17" s="116"/>
      <c r="Y17" s="116"/>
      <c r="Z17" s="116"/>
    </row>
    <row r="18" spans="1:26" ht="15.6" outlineLevel="1" x14ac:dyDescent="0.3">
      <c r="A18" s="116" t="s">
        <v>119</v>
      </c>
      <c r="B18" s="116"/>
      <c r="C18" s="126"/>
      <c r="D18" s="116">
        <f>ABS(D71)</f>
        <v>7309</v>
      </c>
      <c r="E18" s="116">
        <f t="shared" ref="E18:H18" si="11">ABS(E71)</f>
        <v>11085</v>
      </c>
      <c r="F18" s="116">
        <f t="shared" si="11"/>
        <v>10708</v>
      </c>
      <c r="G18" s="116">
        <f t="shared" si="11"/>
        <v>10959</v>
      </c>
      <c r="H18" s="116">
        <f t="shared" si="11"/>
        <v>9447</v>
      </c>
      <c r="I18" s="129">
        <v>9901.6</v>
      </c>
      <c r="J18" s="129">
        <v>9901.6</v>
      </c>
      <c r="K18" s="129">
        <v>9901.6</v>
      </c>
      <c r="L18" s="129">
        <v>9901.6</v>
      </c>
      <c r="M18" s="129">
        <v>9901.6</v>
      </c>
      <c r="N18" s="116"/>
      <c r="O18" s="116"/>
      <c r="P18" s="116"/>
      <c r="Q18" s="116"/>
      <c r="R18" s="116"/>
      <c r="S18" s="116"/>
      <c r="T18" s="116"/>
      <c r="U18" s="116"/>
      <c r="V18" s="116"/>
      <c r="W18" s="116"/>
      <c r="X18" s="116"/>
      <c r="Y18" s="116"/>
      <c r="Z18" s="116"/>
    </row>
    <row r="19" spans="1:26" ht="15.6" outlineLevel="1" x14ac:dyDescent="0.3">
      <c r="A19" s="116" t="s">
        <v>120</v>
      </c>
      <c r="B19" s="116"/>
      <c r="C19" s="126"/>
      <c r="D19" s="116">
        <f>D75</f>
        <v>2499</v>
      </c>
      <c r="E19" s="116">
        <f t="shared" ref="E19:H20" si="12">E75</f>
        <v>12665</v>
      </c>
      <c r="F19" s="116">
        <f t="shared" si="12"/>
        <v>-123</v>
      </c>
      <c r="G19" s="116">
        <f t="shared" si="12"/>
        <v>-9901</v>
      </c>
      <c r="H19" s="116">
        <f t="shared" si="12"/>
        <v>-5998</v>
      </c>
      <c r="I19" s="129">
        <f>AVERAGE($D19:$H19)</f>
        <v>-171.6</v>
      </c>
      <c r="J19" s="129">
        <f t="shared" ref="J19:M20" si="13">AVERAGE($D19:$H19)</f>
        <v>-171.6</v>
      </c>
      <c r="K19" s="129">
        <f t="shared" si="13"/>
        <v>-171.6</v>
      </c>
      <c r="L19" s="129">
        <f t="shared" si="13"/>
        <v>-171.6</v>
      </c>
      <c r="M19" s="129">
        <f t="shared" si="13"/>
        <v>-171.6</v>
      </c>
      <c r="N19" s="116"/>
      <c r="O19" s="116"/>
      <c r="P19" s="116"/>
      <c r="Q19" s="116"/>
      <c r="R19" s="116"/>
      <c r="S19" s="116"/>
      <c r="T19" s="116"/>
      <c r="U19" s="116"/>
      <c r="V19" s="116"/>
      <c r="W19" s="116"/>
      <c r="X19" s="116"/>
      <c r="Y19" s="116"/>
      <c r="Z19" s="116"/>
    </row>
    <row r="20" spans="1:26" ht="15.6" outlineLevel="1" x14ac:dyDescent="0.3">
      <c r="A20" s="116" t="s">
        <v>121</v>
      </c>
      <c r="B20" s="116"/>
      <c r="C20" s="126"/>
      <c r="D20" s="116">
        <f>D76</f>
        <v>-72358</v>
      </c>
      <c r="E20" s="116">
        <f>E76</f>
        <v>-85971</v>
      </c>
      <c r="F20" s="116">
        <f t="shared" si="12"/>
        <v>-89402</v>
      </c>
      <c r="G20" s="116">
        <f t="shared" si="12"/>
        <v>-77550</v>
      </c>
      <c r="H20" s="116">
        <f t="shared" si="12"/>
        <v>-94949</v>
      </c>
      <c r="I20" s="129">
        <f>AVERAGE($D20:$H20)</f>
        <v>-84046</v>
      </c>
      <c r="J20" s="129">
        <f t="shared" si="13"/>
        <v>-84046</v>
      </c>
      <c r="K20" s="129">
        <f t="shared" si="13"/>
        <v>-84046</v>
      </c>
      <c r="L20" s="129">
        <f t="shared" si="13"/>
        <v>-84046</v>
      </c>
      <c r="M20" s="129">
        <f t="shared" si="13"/>
        <v>-84046</v>
      </c>
      <c r="N20" s="116"/>
      <c r="O20" s="116"/>
      <c r="P20" s="116"/>
      <c r="Q20" s="116"/>
      <c r="R20" s="116"/>
      <c r="S20" s="116"/>
      <c r="T20" s="116"/>
      <c r="U20" s="116"/>
      <c r="V20" s="116"/>
      <c r="W20" s="116"/>
      <c r="X20" s="116"/>
      <c r="Y20" s="116"/>
      <c r="Z20" s="116"/>
    </row>
    <row r="21" spans="1:26" ht="15.6" outlineLevel="1" x14ac:dyDescent="0.3">
      <c r="A21" s="116" t="s">
        <v>122</v>
      </c>
      <c r="B21" s="116"/>
      <c r="C21" s="126"/>
      <c r="D21" s="129">
        <v>365</v>
      </c>
      <c r="E21" s="129">
        <v>365</v>
      </c>
      <c r="F21" s="129">
        <v>365</v>
      </c>
      <c r="G21" s="129">
        <v>365</v>
      </c>
      <c r="H21" s="129">
        <v>365</v>
      </c>
      <c r="I21" s="129">
        <v>365</v>
      </c>
      <c r="J21" s="129">
        <v>365</v>
      </c>
      <c r="K21" s="129">
        <v>365</v>
      </c>
      <c r="L21" s="129">
        <v>365</v>
      </c>
      <c r="M21" s="129">
        <v>365</v>
      </c>
      <c r="N21" s="116"/>
      <c r="O21" s="116"/>
      <c r="P21" s="116"/>
      <c r="Q21" s="116"/>
      <c r="R21" s="116"/>
      <c r="S21" s="116"/>
      <c r="T21" s="116"/>
      <c r="U21" s="116"/>
      <c r="V21" s="116"/>
      <c r="W21" s="116"/>
      <c r="X21" s="116"/>
      <c r="Y21" s="116"/>
      <c r="Z21" s="116"/>
    </row>
    <row r="22" spans="1:26" ht="15.6" outlineLevel="1" x14ac:dyDescent="0.3">
      <c r="A22" s="116"/>
      <c r="B22" s="116"/>
      <c r="C22" s="126"/>
      <c r="D22" s="116"/>
      <c r="E22" s="116"/>
      <c r="F22" s="116"/>
      <c r="G22" s="116"/>
      <c r="H22" s="116"/>
      <c r="I22" s="129"/>
      <c r="J22" s="129"/>
      <c r="K22" s="129"/>
      <c r="L22" s="129"/>
      <c r="M22" s="129"/>
      <c r="N22" s="116"/>
      <c r="O22" s="116"/>
      <c r="P22" s="116"/>
      <c r="Q22" s="116"/>
      <c r="R22" s="116"/>
      <c r="S22" s="116"/>
      <c r="T22" s="116"/>
      <c r="U22" s="116"/>
      <c r="V22" s="116"/>
      <c r="W22" s="116"/>
      <c r="X22" s="116"/>
      <c r="Y22" s="116"/>
      <c r="Z22" s="116"/>
    </row>
    <row r="23" spans="1:26" ht="15.6" x14ac:dyDescent="0.3">
      <c r="A23" s="116"/>
      <c r="B23" s="116"/>
      <c r="C23" s="126"/>
      <c r="D23" s="116"/>
      <c r="E23" s="116"/>
      <c r="F23" s="116"/>
      <c r="G23" s="116"/>
      <c r="H23" s="116"/>
      <c r="I23" s="129"/>
      <c r="J23" s="129"/>
      <c r="K23" s="129"/>
      <c r="L23" s="129"/>
      <c r="M23" s="129"/>
      <c r="N23" s="116"/>
      <c r="O23" s="116"/>
      <c r="P23" s="116"/>
      <c r="Q23" s="116"/>
      <c r="R23" s="116"/>
      <c r="S23" s="116"/>
      <c r="T23" s="116"/>
      <c r="U23" s="116"/>
      <c r="V23" s="116"/>
      <c r="W23" s="116"/>
      <c r="X23" s="116"/>
      <c r="Y23" s="116"/>
      <c r="Z23" s="116"/>
    </row>
    <row r="24" spans="1:26" ht="18" x14ac:dyDescent="0.3">
      <c r="A24" s="142" t="s">
        <v>123</v>
      </c>
      <c r="B24" s="128"/>
      <c r="C24" s="128"/>
      <c r="D24" s="128"/>
      <c r="E24" s="128"/>
      <c r="F24" s="128"/>
      <c r="G24" s="128"/>
      <c r="H24" s="128"/>
      <c r="I24" s="128"/>
      <c r="J24" s="128"/>
      <c r="K24" s="128"/>
      <c r="L24" s="128"/>
      <c r="M24" s="128"/>
      <c r="N24" s="116"/>
      <c r="O24" s="116"/>
      <c r="P24" s="116"/>
      <c r="Q24" s="116"/>
      <c r="R24" s="116"/>
      <c r="S24" s="116"/>
      <c r="T24" s="116"/>
      <c r="U24" s="116"/>
      <c r="V24" s="116"/>
      <c r="W24" s="116"/>
      <c r="X24" s="116"/>
      <c r="Y24" s="116"/>
      <c r="Z24" s="116"/>
    </row>
    <row r="25" spans="1:26" ht="15.6" outlineLevel="1" x14ac:dyDescent="0.3">
      <c r="A25" s="130"/>
      <c r="B25" s="130"/>
      <c r="C25" s="143"/>
      <c r="D25" s="144"/>
      <c r="E25" s="144"/>
      <c r="F25" s="144"/>
      <c r="G25" s="144"/>
      <c r="H25" s="144"/>
      <c r="I25" s="130"/>
      <c r="J25" s="130"/>
      <c r="K25" s="130"/>
      <c r="L25" s="130"/>
      <c r="M25" s="130"/>
      <c r="N25" s="116"/>
      <c r="O25" s="116"/>
      <c r="P25" s="116"/>
      <c r="Q25" s="116"/>
      <c r="R25" s="116"/>
      <c r="S25" s="116"/>
      <c r="T25" s="116"/>
      <c r="U25" s="116"/>
      <c r="V25" s="116"/>
      <c r="W25" s="116"/>
      <c r="X25" s="116"/>
      <c r="Y25" s="116"/>
      <c r="Z25" s="116"/>
    </row>
    <row r="26" spans="1:26" ht="15.6" outlineLevel="1" x14ac:dyDescent="0.3">
      <c r="A26" s="130" t="s">
        <v>83</v>
      </c>
      <c r="B26" s="130"/>
      <c r="C26" s="143"/>
      <c r="D26" s="144">
        <v>274515</v>
      </c>
      <c r="E26" s="144">
        <v>365817</v>
      </c>
      <c r="F26" s="144">
        <v>394328</v>
      </c>
      <c r="G26" s="144">
        <v>383285</v>
      </c>
      <c r="H26" s="144">
        <v>391035</v>
      </c>
      <c r="I26" s="130">
        <f>H26*(1+I8)</f>
        <v>430407.04903881822</v>
      </c>
      <c r="J26" s="130">
        <f>I26*(1+J8)</f>
        <v>473743.34231540316</v>
      </c>
      <c r="K26" s="130">
        <f>J26*(1+K8)</f>
        <v>521443.02675658028</v>
      </c>
      <c r="L26" s="130">
        <f t="shared" ref="L26:M26" si="14">K26*(1+L8)</f>
        <v>573945.43810188153</v>
      </c>
      <c r="M26" s="130">
        <f t="shared" si="14"/>
        <v>631734.14738507429</v>
      </c>
      <c r="N26" s="116"/>
      <c r="O26" s="116"/>
      <c r="P26" s="116"/>
      <c r="Q26" s="116"/>
      <c r="R26" s="116"/>
      <c r="S26" s="116"/>
      <c r="T26" s="116"/>
      <c r="U26" s="116"/>
      <c r="V26" s="116"/>
      <c r="W26" s="116"/>
      <c r="X26" s="116"/>
      <c r="Y26" s="116"/>
      <c r="Z26" s="116"/>
    </row>
    <row r="27" spans="1:26" ht="15.6" outlineLevel="1" x14ac:dyDescent="0.3">
      <c r="A27" s="116" t="s">
        <v>124</v>
      </c>
      <c r="B27" s="116"/>
      <c r="C27" s="126"/>
      <c r="D27" s="129">
        <v>169559</v>
      </c>
      <c r="E27" s="129">
        <v>212981</v>
      </c>
      <c r="F27" s="129">
        <v>223546</v>
      </c>
      <c r="G27" s="129">
        <v>214137</v>
      </c>
      <c r="H27" s="129">
        <v>210352</v>
      </c>
      <c r="I27" s="145">
        <f>I26*I9</f>
        <v>246485.75218985946</v>
      </c>
      <c r="J27" s="145">
        <f t="shared" ref="J27:M27" si="15">J26*J9</f>
        <v>271303.60512524669</v>
      </c>
      <c r="K27" s="145">
        <f t="shared" si="15"/>
        <v>298620.28737977479</v>
      </c>
      <c r="L27" s="145">
        <f t="shared" si="15"/>
        <v>328687.39799315331</v>
      </c>
      <c r="M27" s="145">
        <f t="shared" si="15"/>
        <v>361781.86869840475</v>
      </c>
      <c r="N27" s="116"/>
      <c r="O27" s="116"/>
      <c r="P27" s="116"/>
      <c r="Q27" s="116"/>
      <c r="R27" s="116"/>
      <c r="S27" s="116"/>
      <c r="T27" s="116"/>
      <c r="U27" s="116"/>
      <c r="V27" s="116"/>
      <c r="W27" s="116"/>
      <c r="X27" s="116"/>
      <c r="Y27" s="116"/>
      <c r="Z27" s="116"/>
    </row>
    <row r="28" spans="1:26" ht="15.6" outlineLevel="1" x14ac:dyDescent="0.3">
      <c r="A28" s="132" t="s">
        <v>125</v>
      </c>
      <c r="B28" s="132"/>
      <c r="C28" s="133"/>
      <c r="D28" s="132">
        <v>104956</v>
      </c>
      <c r="E28" s="132">
        <v>152836</v>
      </c>
      <c r="F28" s="132">
        <v>170782</v>
      </c>
      <c r="G28" s="132">
        <v>169148</v>
      </c>
      <c r="H28" s="132">
        <v>180683</v>
      </c>
      <c r="I28" s="132">
        <f>I26-I27</f>
        <v>183921.29684895877</v>
      </c>
      <c r="J28" s="132">
        <f t="shared" ref="J28:M28" si="16">J26-J27</f>
        <v>202439.73719015648</v>
      </c>
      <c r="K28" s="132">
        <f>K26-K27</f>
        <v>222822.73937680549</v>
      </c>
      <c r="L28" s="132">
        <f t="shared" si="16"/>
        <v>245258.04010872822</v>
      </c>
      <c r="M28" s="132">
        <f t="shared" si="16"/>
        <v>269952.27868666954</v>
      </c>
      <c r="N28" s="116"/>
      <c r="O28" s="116"/>
      <c r="P28" s="116"/>
      <c r="Q28" s="116"/>
      <c r="R28" s="116"/>
      <c r="S28" s="116"/>
      <c r="T28" s="116"/>
      <c r="U28" s="116"/>
      <c r="V28" s="116"/>
      <c r="W28" s="116"/>
      <c r="X28" s="116"/>
      <c r="Y28" s="116"/>
      <c r="Z28" s="116"/>
    </row>
    <row r="29" spans="1:26" ht="15.6" outlineLevel="1" x14ac:dyDescent="0.3">
      <c r="A29" s="130" t="s">
        <v>87</v>
      </c>
      <c r="B29" s="130"/>
      <c r="C29" s="143"/>
      <c r="D29" s="146"/>
      <c r="E29" s="146"/>
      <c r="F29" s="146"/>
      <c r="G29" s="146"/>
      <c r="H29" s="146"/>
      <c r="I29" s="146"/>
      <c r="J29" s="146"/>
      <c r="K29" s="146"/>
      <c r="L29" s="130"/>
      <c r="M29" s="130"/>
      <c r="N29" s="116"/>
      <c r="O29" s="116"/>
      <c r="P29" s="116"/>
      <c r="Q29" s="116"/>
      <c r="R29" s="116"/>
      <c r="S29" s="116"/>
      <c r="T29" s="116"/>
      <c r="U29" s="116"/>
      <c r="V29" s="116"/>
      <c r="W29" s="116"/>
      <c r="X29" s="116"/>
      <c r="Y29" s="116"/>
      <c r="Z29" s="116"/>
    </row>
    <row r="30" spans="1:26" ht="15.6" outlineLevel="1" x14ac:dyDescent="0.3">
      <c r="A30" s="116" t="s">
        <v>126</v>
      </c>
      <c r="B30" s="116"/>
      <c r="C30" s="126"/>
      <c r="D30" s="129">
        <v>18752</v>
      </c>
      <c r="E30" s="129">
        <v>21914</v>
      </c>
      <c r="F30" s="129">
        <v>26251</v>
      </c>
      <c r="G30" s="129">
        <v>29915</v>
      </c>
      <c r="H30" s="129">
        <v>31370</v>
      </c>
      <c r="I30" s="116">
        <f>I26*(H30/H26)</f>
        <v>34528.543808988266</v>
      </c>
      <c r="J30" s="116">
        <f t="shared" ref="J30:K30" si="17">J26*(I30/I26)</f>
        <v>38005.111175301943</v>
      </c>
      <c r="K30" s="116">
        <f t="shared" si="17"/>
        <v>41831.722862030052</v>
      </c>
      <c r="L30" s="116">
        <f>L26*(K30/K26)</f>
        <v>46043.623699300631</v>
      </c>
      <c r="M30" s="116">
        <f>M26*(L30/L26)</f>
        <v>50679.6072051601</v>
      </c>
      <c r="N30" s="116"/>
      <c r="O30" s="116"/>
      <c r="P30" s="116"/>
      <c r="Q30" s="116"/>
      <c r="R30" s="116"/>
      <c r="S30" s="116"/>
      <c r="T30" s="116"/>
      <c r="U30" s="116"/>
      <c r="V30" s="116"/>
      <c r="W30" s="116"/>
      <c r="X30" s="116"/>
      <c r="Y30" s="116"/>
      <c r="Z30" s="116"/>
    </row>
    <row r="31" spans="1:26" ht="15.6" outlineLevel="1" x14ac:dyDescent="0.3">
      <c r="A31" s="116" t="s">
        <v>127</v>
      </c>
      <c r="B31" s="116"/>
      <c r="C31" s="126"/>
      <c r="D31" s="129">
        <v>19916</v>
      </c>
      <c r="E31" s="129">
        <v>21973</v>
      </c>
      <c r="F31" s="129">
        <v>25094</v>
      </c>
      <c r="G31" s="129">
        <v>24932</v>
      </c>
      <c r="H31" s="129">
        <v>26097</v>
      </c>
      <c r="I31" s="116">
        <f>I26*(H31/H26)</f>
        <v>28724.622498666457</v>
      </c>
      <c r="J31" s="116">
        <f t="shared" ref="J31:M31" si="18">J26*(I31/I26)</f>
        <v>31616.81180560583</v>
      </c>
      <c r="K31" s="116">
        <f t="shared" si="18"/>
        <v>34800.206296793061</v>
      </c>
      <c r="L31" s="116">
        <f t="shared" si="18"/>
        <v>38304.126480097184</v>
      </c>
      <c r="M31" s="116">
        <f t="shared" si="18"/>
        <v>42160.845050464239</v>
      </c>
      <c r="N31" s="116"/>
      <c r="O31" s="116"/>
      <c r="P31" s="116"/>
      <c r="Q31" s="116"/>
      <c r="R31" s="116"/>
      <c r="S31" s="116"/>
      <c r="T31" s="116"/>
      <c r="U31" s="116"/>
      <c r="V31" s="116"/>
      <c r="W31" s="116"/>
      <c r="X31" s="116"/>
      <c r="Y31" s="116"/>
      <c r="Z31" s="116"/>
    </row>
    <row r="32" spans="1:26" ht="15.6" outlineLevel="1" x14ac:dyDescent="0.3">
      <c r="A32" s="116" t="s">
        <v>128</v>
      </c>
      <c r="B32" s="116"/>
      <c r="C32" s="126"/>
      <c r="D32" s="129" t="s">
        <v>57</v>
      </c>
      <c r="E32" s="129" t="s">
        <v>57</v>
      </c>
      <c r="F32" s="129" t="s">
        <v>57</v>
      </c>
      <c r="G32" s="129" t="s">
        <v>57</v>
      </c>
      <c r="H32" s="129" t="s">
        <v>57</v>
      </c>
      <c r="I32" s="129" t="s">
        <v>57</v>
      </c>
      <c r="J32" s="129" t="s">
        <v>57</v>
      </c>
      <c r="K32" s="129" t="s">
        <v>57</v>
      </c>
      <c r="L32" s="129" t="s">
        <v>57</v>
      </c>
      <c r="M32" s="129" t="s">
        <v>57</v>
      </c>
      <c r="N32" s="116"/>
      <c r="O32" s="116"/>
      <c r="P32" s="116"/>
      <c r="Q32" s="116"/>
      <c r="R32" s="116"/>
      <c r="S32" s="116"/>
      <c r="T32" s="116"/>
      <c r="U32" s="116"/>
      <c r="V32" s="116"/>
      <c r="W32" s="116"/>
      <c r="X32" s="116"/>
      <c r="Y32" s="116"/>
      <c r="Z32" s="116"/>
    </row>
    <row r="33" spans="1:26" ht="15.6" outlineLevel="1" x14ac:dyDescent="0.3">
      <c r="A33" s="130" t="s">
        <v>92</v>
      </c>
      <c r="B33" s="116"/>
      <c r="C33" s="126"/>
      <c r="D33" s="130">
        <f>SUM(D30:D32)</f>
        <v>38668</v>
      </c>
      <c r="E33" s="130">
        <f>SUM(E30:E32)</f>
        <v>43887</v>
      </c>
      <c r="F33" s="130">
        <f>(F30+F31)</f>
        <v>51345</v>
      </c>
      <c r="G33" s="130">
        <v>54847</v>
      </c>
      <c r="H33" s="130">
        <v>57467</v>
      </c>
      <c r="I33" s="130">
        <f>SUM(I30:I32)</f>
        <v>63253.166307654727</v>
      </c>
      <c r="J33" s="130">
        <f t="shared" ref="J33:M33" si="19">SUM(J30:J32)</f>
        <v>69621.922980907781</v>
      </c>
      <c r="K33" s="130">
        <f t="shared" si="19"/>
        <v>76631.929158823114</v>
      </c>
      <c r="L33" s="130">
        <f>SUM(L30:L32)</f>
        <v>84347.750179397815</v>
      </c>
      <c r="M33" s="130">
        <f t="shared" si="19"/>
        <v>92840.452255624346</v>
      </c>
      <c r="N33" s="116"/>
      <c r="O33" s="116"/>
      <c r="P33" s="116"/>
      <c r="Q33" s="116"/>
      <c r="R33" s="116"/>
      <c r="S33" s="116"/>
      <c r="T33" s="116"/>
      <c r="U33" s="116"/>
      <c r="V33" s="116"/>
      <c r="W33" s="116"/>
      <c r="X33" s="116"/>
      <c r="Y33" s="116"/>
      <c r="Z33" s="116"/>
    </row>
    <row r="34" spans="1:26" ht="15.6" outlineLevel="1" x14ac:dyDescent="0.3">
      <c r="A34" s="132" t="s">
        <v>129</v>
      </c>
      <c r="B34" s="132"/>
      <c r="C34" s="133"/>
      <c r="D34" s="132">
        <v>66288</v>
      </c>
      <c r="E34" s="132">
        <v>108949</v>
      </c>
      <c r="F34" s="132">
        <v>119437</v>
      </c>
      <c r="G34" s="132">
        <v>114301</v>
      </c>
      <c r="H34" s="132">
        <v>123216</v>
      </c>
      <c r="I34" s="132">
        <f>I28-I33</f>
        <v>120668.13054130404</v>
      </c>
      <c r="J34" s="132">
        <f>J28-J33</f>
        <v>132817.8142092487</v>
      </c>
      <c r="K34" s="132">
        <f>K28-K33</f>
        <v>146190.81021798239</v>
      </c>
      <c r="L34" s="132">
        <f>L28-L33</f>
        <v>160910.28992933041</v>
      </c>
      <c r="M34" s="132">
        <f t="shared" ref="M34" si="20">M28-M33</f>
        <v>177111.82643104519</v>
      </c>
      <c r="N34" s="116"/>
      <c r="O34" s="116"/>
      <c r="P34" s="116"/>
      <c r="Q34" s="116"/>
      <c r="R34" s="116"/>
      <c r="S34" s="116"/>
      <c r="T34" s="116"/>
      <c r="U34" s="116"/>
      <c r="V34" s="116"/>
      <c r="W34" s="116"/>
      <c r="X34" s="116"/>
      <c r="Y34" s="116"/>
      <c r="Z34" s="116"/>
    </row>
    <row r="35" spans="1:26" ht="15.6" outlineLevel="1" x14ac:dyDescent="0.3">
      <c r="A35" s="130"/>
      <c r="B35" s="130"/>
      <c r="C35" s="143"/>
      <c r="D35" s="144"/>
      <c r="E35" s="144"/>
      <c r="F35" s="144"/>
      <c r="G35" s="144"/>
      <c r="H35" s="144"/>
      <c r="I35" s="130"/>
      <c r="J35" s="130"/>
      <c r="K35" s="130"/>
      <c r="L35" s="130"/>
      <c r="M35" s="130"/>
      <c r="N35" s="116"/>
      <c r="O35" s="116"/>
      <c r="P35" s="116"/>
      <c r="Q35" s="116"/>
      <c r="R35" s="116"/>
      <c r="S35" s="116"/>
      <c r="T35" s="116"/>
      <c r="U35" s="116"/>
      <c r="V35" s="116"/>
      <c r="W35" s="116"/>
      <c r="X35" s="116"/>
      <c r="Y35" s="116"/>
      <c r="Z35" s="116"/>
    </row>
    <row r="36" spans="1:26" ht="15.6" outlineLevel="1" x14ac:dyDescent="0.3">
      <c r="A36" s="116" t="s">
        <v>130</v>
      </c>
      <c r="B36" s="116"/>
      <c r="C36" s="126"/>
      <c r="D36" s="129">
        <v>9680</v>
      </c>
      <c r="E36" s="129">
        <v>14527</v>
      </c>
      <c r="F36" s="129">
        <v>19300</v>
      </c>
      <c r="G36" s="129">
        <v>16741</v>
      </c>
      <c r="H36" s="129">
        <v>29749</v>
      </c>
      <c r="I36" s="145">
        <f>I34*I14</f>
        <v>20003.409192428047</v>
      </c>
      <c r="J36" s="145">
        <f t="shared" ref="J36:M36" si="21">J34*J14</f>
        <v>22017.487747206578</v>
      </c>
      <c r="K36" s="145">
        <f t="shared" si="21"/>
        <v>24234.357355539836</v>
      </c>
      <c r="L36" s="145">
        <f t="shared" si="21"/>
        <v>26674.436392522613</v>
      </c>
      <c r="M36" s="145">
        <f t="shared" si="21"/>
        <v>29360.199093378636</v>
      </c>
      <c r="N36" s="116"/>
      <c r="O36" s="116"/>
      <c r="P36" s="116"/>
      <c r="Q36" s="116"/>
      <c r="R36" s="116"/>
      <c r="S36" s="116"/>
      <c r="T36" s="116"/>
      <c r="U36" s="116"/>
      <c r="V36" s="116"/>
      <c r="W36" s="116"/>
      <c r="X36" s="116"/>
      <c r="Y36" s="116"/>
      <c r="Z36" s="116"/>
    </row>
    <row r="37" spans="1:26" ht="16.2" outlineLevel="1" thickBot="1" x14ac:dyDescent="0.35">
      <c r="A37" s="147" t="s">
        <v>131</v>
      </c>
      <c r="B37" s="147"/>
      <c r="C37" s="148"/>
      <c r="D37" s="147">
        <v>57411</v>
      </c>
      <c r="E37" s="147">
        <v>94680</v>
      </c>
      <c r="F37" s="147">
        <v>99803</v>
      </c>
      <c r="G37" s="147">
        <v>96995</v>
      </c>
      <c r="H37" s="147">
        <v>93736</v>
      </c>
      <c r="I37" s="147">
        <f>I34-I36</f>
        <v>100664.72134887599</v>
      </c>
      <c r="J37" s="147">
        <f t="shared" ref="J37:M37" si="22">J34-J36</f>
        <v>110800.32646204211</v>
      </c>
      <c r="K37" s="147">
        <f t="shared" si="22"/>
        <v>121956.45286244256</v>
      </c>
      <c r="L37" s="147">
        <f t="shared" si="22"/>
        <v>134235.85353680779</v>
      </c>
      <c r="M37" s="147">
        <f t="shared" si="22"/>
        <v>147751.62733766655</v>
      </c>
      <c r="N37" s="116"/>
      <c r="O37" s="116"/>
      <c r="P37" s="116"/>
      <c r="Q37" s="116"/>
      <c r="R37" s="116"/>
      <c r="S37" s="116"/>
      <c r="T37" s="116"/>
      <c r="U37" s="116"/>
      <c r="V37" s="116"/>
      <c r="W37" s="116"/>
      <c r="X37" s="116"/>
      <c r="Y37" s="116"/>
      <c r="Z37" s="116"/>
    </row>
    <row r="38" spans="1:26" ht="16.2" outlineLevel="1" thickTop="1" x14ac:dyDescent="0.3">
      <c r="A38" s="116"/>
      <c r="B38" s="116"/>
      <c r="C38" s="126"/>
      <c r="D38" s="129"/>
      <c r="E38" s="129"/>
      <c r="F38" s="129"/>
      <c r="G38" s="129"/>
      <c r="H38" s="129"/>
      <c r="I38" s="116"/>
      <c r="J38" s="116"/>
      <c r="K38" s="116"/>
      <c r="L38" s="116"/>
      <c r="M38" s="116"/>
      <c r="N38" s="116"/>
      <c r="O38" s="116"/>
      <c r="P38" s="116"/>
      <c r="Q38" s="116"/>
      <c r="R38" s="116"/>
      <c r="S38" s="116"/>
      <c r="T38" s="116"/>
      <c r="U38" s="116"/>
      <c r="V38" s="116"/>
      <c r="W38" s="116"/>
      <c r="X38" s="116"/>
      <c r="Y38" s="116"/>
      <c r="Z38" s="116"/>
    </row>
    <row r="39" spans="1:26" ht="15.6" x14ac:dyDescent="0.3">
      <c r="A39" s="116"/>
      <c r="B39" s="116"/>
      <c r="C39" s="126"/>
      <c r="D39" s="129"/>
      <c r="E39" s="129"/>
      <c r="F39" s="129"/>
      <c r="G39" s="129"/>
      <c r="H39" s="129"/>
      <c r="I39" s="116"/>
      <c r="J39" s="116"/>
      <c r="K39" s="116"/>
      <c r="L39" s="116"/>
      <c r="M39" s="116"/>
      <c r="N39" s="116"/>
      <c r="O39" s="116"/>
      <c r="P39" s="116"/>
      <c r="Q39" s="116"/>
      <c r="R39" s="116"/>
      <c r="S39" s="116"/>
      <c r="T39" s="116"/>
      <c r="U39" s="116"/>
      <c r="V39" s="116"/>
      <c r="W39" s="116"/>
      <c r="X39" s="116"/>
      <c r="Y39" s="116"/>
      <c r="Z39" s="116"/>
    </row>
    <row r="40" spans="1:26" ht="18" x14ac:dyDescent="0.3">
      <c r="A40" s="142" t="s">
        <v>88</v>
      </c>
      <c r="B40" s="142"/>
      <c r="C40" s="142"/>
      <c r="D40" s="142"/>
      <c r="E40" s="142"/>
      <c r="F40" s="142"/>
      <c r="G40" s="142"/>
      <c r="H40" s="142"/>
      <c r="I40" s="142"/>
      <c r="J40" s="142"/>
      <c r="K40" s="142"/>
      <c r="L40" s="142"/>
      <c r="M40" s="142"/>
      <c r="N40" s="116"/>
      <c r="O40" s="116"/>
      <c r="P40" s="116"/>
      <c r="Q40" s="116"/>
      <c r="R40" s="116"/>
      <c r="S40" s="116"/>
      <c r="T40" s="116"/>
      <c r="U40" s="116"/>
      <c r="V40" s="116"/>
      <c r="W40" s="116"/>
      <c r="X40" s="116"/>
      <c r="Y40" s="116"/>
      <c r="Z40" s="116"/>
    </row>
    <row r="41" spans="1:26" ht="15.6" outlineLevel="1" x14ac:dyDescent="0.3">
      <c r="A41" s="116"/>
      <c r="B41" s="116"/>
      <c r="C41" s="126"/>
      <c r="D41" s="129"/>
      <c r="E41" s="129"/>
      <c r="F41" s="129"/>
      <c r="G41" s="129"/>
      <c r="H41" s="129"/>
      <c r="I41" s="116"/>
      <c r="J41" s="116"/>
      <c r="K41" s="116"/>
      <c r="L41" s="116"/>
      <c r="M41" s="116"/>
      <c r="N41" s="116"/>
      <c r="O41" s="116"/>
      <c r="P41" s="116"/>
      <c r="Q41" s="116"/>
      <c r="R41" s="116"/>
      <c r="S41" s="116"/>
      <c r="T41" s="116"/>
      <c r="U41" s="116"/>
      <c r="V41" s="116"/>
      <c r="W41" s="116"/>
      <c r="X41" s="116"/>
      <c r="Y41" s="116"/>
      <c r="Z41" s="116"/>
    </row>
    <row r="42" spans="1:26" ht="15.6" outlineLevel="1" x14ac:dyDescent="0.3">
      <c r="A42" s="130" t="s">
        <v>89</v>
      </c>
      <c r="B42" s="116"/>
      <c r="C42" s="126"/>
      <c r="D42" s="129"/>
      <c r="E42" s="129"/>
      <c r="F42" s="129"/>
      <c r="G42" s="129"/>
      <c r="H42" s="129"/>
      <c r="I42" s="116"/>
      <c r="J42" s="116"/>
      <c r="K42" s="116"/>
      <c r="L42" s="116"/>
      <c r="M42" s="116"/>
      <c r="N42" s="116"/>
      <c r="O42" s="116"/>
      <c r="P42" s="116"/>
      <c r="Q42" s="116"/>
      <c r="R42" s="116"/>
      <c r="S42" s="116"/>
      <c r="T42" s="116"/>
      <c r="U42" s="116"/>
      <c r="V42" s="116"/>
      <c r="W42" s="116"/>
      <c r="X42" s="116"/>
      <c r="Y42" s="116"/>
      <c r="Z42" s="116"/>
    </row>
    <row r="43" spans="1:26" ht="15.6" outlineLevel="1" x14ac:dyDescent="0.3">
      <c r="A43" s="116" t="s">
        <v>50</v>
      </c>
      <c r="B43" s="116"/>
      <c r="D43" s="129">
        <v>90943</v>
      </c>
      <c r="E43" s="129">
        <v>62639</v>
      </c>
      <c r="F43" s="129">
        <v>48304</v>
      </c>
      <c r="G43" s="129">
        <v>61555</v>
      </c>
      <c r="H43" s="129">
        <v>65171</v>
      </c>
      <c r="I43" s="116">
        <f>(I57-(I44+I45+I46))</f>
        <v>28777.70747395519</v>
      </c>
      <c r="J43" s="116">
        <f t="shared" ref="J43:L43" si="23">(J57-(J44+J45+J46))</f>
        <v>56102.48913550099</v>
      </c>
      <c r="K43" s="116">
        <f>(K57-(K44+K45+K46))</f>
        <v>93961.474555064138</v>
      </c>
      <c r="L43" s="116">
        <f t="shared" si="23"/>
        <v>143605.43304465598</v>
      </c>
      <c r="M43" s="116">
        <f>(M57-(M44+M45+M46))</f>
        <v>206359.18707063852</v>
      </c>
      <c r="N43" s="116"/>
      <c r="O43" s="116"/>
      <c r="P43" s="116"/>
      <c r="Q43" s="116"/>
      <c r="R43" s="116"/>
      <c r="S43" s="116"/>
      <c r="T43" s="116"/>
      <c r="U43" s="116"/>
      <c r="V43" s="116"/>
      <c r="W43" s="116"/>
      <c r="X43" s="116"/>
      <c r="Y43" s="116"/>
      <c r="Z43" s="116"/>
    </row>
    <row r="44" spans="1:26" ht="15.6" outlineLevel="1" x14ac:dyDescent="0.3">
      <c r="A44" s="116" t="s">
        <v>132</v>
      </c>
      <c r="B44" s="116"/>
      <c r="D44" s="129">
        <v>37445</v>
      </c>
      <c r="E44" s="129">
        <v>51506</v>
      </c>
      <c r="F44" s="129">
        <v>60932</v>
      </c>
      <c r="G44" s="129">
        <v>60985</v>
      </c>
      <c r="H44" s="129">
        <v>66243</v>
      </c>
      <c r="I44" s="149">
        <f>(I26/I21)*I15</f>
        <v>65442.369773992235</v>
      </c>
      <c r="J44" s="149">
        <f t="shared" ref="J44:M44" si="24">(J26/J21)*J15</f>
        <v>72031.550261565208</v>
      </c>
      <c r="K44" s="149">
        <f t="shared" si="24"/>
        <v>79284.174014529635</v>
      </c>
      <c r="L44" s="149">
        <f>(L26/L21)*L15</f>
        <v>87267.040988847177</v>
      </c>
      <c r="M44" s="149">
        <f t="shared" si="24"/>
        <v>96053.677011928085</v>
      </c>
      <c r="N44" s="116"/>
      <c r="O44" s="116"/>
      <c r="P44" s="116"/>
      <c r="Q44" s="116"/>
      <c r="R44" s="116"/>
      <c r="S44" s="116"/>
      <c r="T44" s="116"/>
      <c r="U44" s="116"/>
      <c r="V44" s="116"/>
      <c r="W44" s="116"/>
      <c r="X44" s="116"/>
      <c r="Y44" s="116"/>
      <c r="Z44" s="116"/>
    </row>
    <row r="45" spans="1:26" ht="15.6" outlineLevel="1" x14ac:dyDescent="0.3">
      <c r="A45" s="116" t="s">
        <v>133</v>
      </c>
      <c r="B45" s="116"/>
      <c r="D45" s="129">
        <v>4061</v>
      </c>
      <c r="E45" s="129">
        <v>6580</v>
      </c>
      <c r="F45" s="129">
        <v>4946</v>
      </c>
      <c r="G45" s="129">
        <v>6331</v>
      </c>
      <c r="H45" s="129">
        <v>7286</v>
      </c>
      <c r="I45" s="116">
        <f>(I27/I21)*I16</f>
        <v>6959.4120604937198</v>
      </c>
      <c r="J45" s="116">
        <f t="shared" ref="J45:L45" si="25">(J27/J21)*J16</f>
        <v>7660.1327451564794</v>
      </c>
      <c r="K45" s="116">
        <f t="shared" si="25"/>
        <v>8431.4067285241017</v>
      </c>
      <c r="L45" s="116">
        <f t="shared" si="25"/>
        <v>9280.337793982877</v>
      </c>
      <c r="M45" s="116">
        <f>(M27/M21)*M16</f>
        <v>10214.744981885475</v>
      </c>
      <c r="N45" s="116"/>
      <c r="O45" s="116"/>
      <c r="P45" s="116"/>
      <c r="Q45" s="116"/>
      <c r="R45" s="116"/>
      <c r="S45" s="116"/>
      <c r="T45" s="116"/>
      <c r="U45" s="116"/>
      <c r="V45" s="116"/>
      <c r="W45" s="116"/>
      <c r="X45" s="116"/>
      <c r="Y45" s="116"/>
      <c r="Z45" s="116"/>
    </row>
    <row r="46" spans="1:26" ht="15.6" outlineLevel="1" x14ac:dyDescent="0.3">
      <c r="A46" s="116" t="s">
        <v>134</v>
      </c>
      <c r="B46" s="116"/>
      <c r="C46" s="126"/>
      <c r="D46" s="129">
        <v>36766</v>
      </c>
      <c r="E46" s="129">
        <v>39440</v>
      </c>
      <c r="F46" s="129">
        <v>42117</v>
      </c>
      <c r="G46" s="129">
        <v>43715</v>
      </c>
      <c r="H46" s="129">
        <v>45680</v>
      </c>
      <c r="I46" s="116">
        <f>H46+I18-(H46*I12)</f>
        <v>43115.399036727031</v>
      </c>
      <c r="J46" s="116">
        <f t="shared" ref="J46:M46" si="26">I46+J18-(I46*J12)</f>
        <v>41250.684916684448</v>
      </c>
      <c r="K46" s="116">
        <f t="shared" si="26"/>
        <v>39894.856544441856</v>
      </c>
      <c r="L46" s="116">
        <f>K46+L18-(K46*L12)</f>
        <v>38909.037562744001</v>
      </c>
      <c r="M46" s="116">
        <f t="shared" si="26"/>
        <v>38192.251364304786</v>
      </c>
      <c r="N46" s="116"/>
      <c r="O46" s="116"/>
      <c r="P46" s="116"/>
      <c r="Q46" s="116"/>
      <c r="R46" s="116"/>
      <c r="S46" s="116"/>
      <c r="T46" s="116"/>
      <c r="U46" s="116"/>
      <c r="V46" s="116"/>
      <c r="W46" s="116"/>
      <c r="X46" s="116"/>
      <c r="Y46" s="116"/>
      <c r="Z46" s="116"/>
    </row>
    <row r="47" spans="1:26" ht="16.2" outlineLevel="1" thickBot="1" x14ac:dyDescent="0.35">
      <c r="A47" s="147" t="s">
        <v>90</v>
      </c>
      <c r="B47" s="147"/>
      <c r="C47" s="148"/>
      <c r="D47" s="147">
        <f t="shared" ref="D47:M47" si="27">SUM(D43:D46)</f>
        <v>169215</v>
      </c>
      <c r="E47" s="147">
        <f t="shared" si="27"/>
        <v>160165</v>
      </c>
      <c r="F47" s="147">
        <f t="shared" si="27"/>
        <v>156299</v>
      </c>
      <c r="G47" s="147">
        <f t="shared" si="27"/>
        <v>172586</v>
      </c>
      <c r="H47" s="147">
        <f t="shared" si="27"/>
        <v>184380</v>
      </c>
      <c r="I47" s="147">
        <f t="shared" si="27"/>
        <v>144294.88834516818</v>
      </c>
      <c r="J47" s="147">
        <f t="shared" si="27"/>
        <v>177044.8570589071</v>
      </c>
      <c r="K47" s="147">
        <f t="shared" si="27"/>
        <v>221571.91184255976</v>
      </c>
      <c r="L47" s="147">
        <f t="shared" si="27"/>
        <v>279061.84939023003</v>
      </c>
      <c r="M47" s="147">
        <f t="shared" si="27"/>
        <v>350819.86042875686</v>
      </c>
      <c r="N47" s="116"/>
      <c r="O47" s="116"/>
      <c r="P47" s="116"/>
      <c r="Q47" s="116"/>
      <c r="R47" s="116"/>
      <c r="S47" s="116"/>
      <c r="T47" s="116"/>
      <c r="U47" s="116"/>
      <c r="V47" s="116"/>
      <c r="W47" s="116"/>
      <c r="X47" s="116"/>
      <c r="Y47" s="116"/>
      <c r="Z47" s="116"/>
    </row>
    <row r="48" spans="1:26" ht="16.2" outlineLevel="1" thickTop="1" x14ac:dyDescent="0.3">
      <c r="A48" s="130"/>
      <c r="B48" s="130"/>
      <c r="C48" s="143"/>
      <c r="D48" s="144"/>
      <c r="E48" s="144"/>
      <c r="F48" s="144"/>
      <c r="G48" s="144"/>
      <c r="H48" s="144"/>
      <c r="I48" s="130"/>
      <c r="J48" s="130"/>
      <c r="K48" s="130"/>
      <c r="L48" s="130"/>
      <c r="M48" s="130"/>
      <c r="N48" s="116"/>
      <c r="O48" s="116"/>
      <c r="P48" s="116"/>
      <c r="Q48" s="116"/>
      <c r="R48" s="116"/>
      <c r="S48" s="116"/>
      <c r="T48" s="116"/>
      <c r="U48" s="116"/>
      <c r="V48" s="116"/>
      <c r="W48" s="116"/>
      <c r="X48" s="116"/>
      <c r="Y48" s="116"/>
      <c r="Z48" s="116"/>
    </row>
    <row r="49" spans="1:26" ht="15.6" outlineLevel="1" x14ac:dyDescent="0.3">
      <c r="A49" s="130" t="s">
        <v>91</v>
      </c>
      <c r="B49" s="116"/>
      <c r="N49" s="116"/>
      <c r="O49" s="116"/>
      <c r="P49" s="116"/>
      <c r="Q49" s="116"/>
      <c r="R49" s="116"/>
      <c r="S49" s="116"/>
      <c r="T49" s="116"/>
      <c r="U49" s="116"/>
      <c r="V49" s="116"/>
      <c r="W49" s="116"/>
      <c r="X49" s="116"/>
      <c r="Y49" s="116"/>
      <c r="Z49" s="116"/>
    </row>
    <row r="50" spans="1:26" ht="15.6" outlineLevel="1" x14ac:dyDescent="0.3">
      <c r="A50" s="116" t="s">
        <v>135</v>
      </c>
      <c r="B50" s="116"/>
      <c r="D50" s="150">
        <v>54490</v>
      </c>
      <c r="E50" s="150">
        <v>53325</v>
      </c>
      <c r="F50" s="150">
        <v>49142</v>
      </c>
      <c r="G50" s="150">
        <v>49848</v>
      </c>
      <c r="H50" s="150">
        <v>45888</v>
      </c>
      <c r="I50" s="116">
        <f>(I27/I21)*I17</f>
        <v>61251.766996292186</v>
      </c>
      <c r="J50" s="116">
        <f t="shared" ref="J50:L50" si="28">(J27/J21)*J17</f>
        <v>67419.009247989059</v>
      </c>
      <c r="K50" s="116">
        <f t="shared" si="28"/>
        <v>74207.211169199087</v>
      </c>
      <c r="L50" s="116">
        <f t="shared" si="28"/>
        <v>81678.895180061649</v>
      </c>
      <c r="M50" s="116">
        <f>(M27/M21)*M17</f>
        <v>89902.878880921882</v>
      </c>
      <c r="N50" s="116"/>
      <c r="O50" s="116"/>
      <c r="P50" s="116"/>
      <c r="Q50" s="116"/>
      <c r="R50" s="116"/>
      <c r="S50" s="116"/>
      <c r="T50" s="116"/>
      <c r="U50" s="116"/>
      <c r="V50" s="116"/>
      <c r="W50" s="116"/>
      <c r="X50" s="116"/>
      <c r="Y50" s="116"/>
      <c r="Z50" s="116"/>
    </row>
    <row r="51" spans="1:26" ht="15.6" outlineLevel="1" x14ac:dyDescent="0.3">
      <c r="A51" s="116" t="s">
        <v>49</v>
      </c>
      <c r="B51" s="116"/>
      <c r="C51" s="126"/>
      <c r="D51" s="129">
        <v>91807</v>
      </c>
      <c r="E51" s="129">
        <v>109106</v>
      </c>
      <c r="F51" s="129">
        <v>98959</v>
      </c>
      <c r="G51" s="129">
        <v>95281</v>
      </c>
      <c r="H51" s="129">
        <v>85750</v>
      </c>
      <c r="I51" s="116">
        <f>(H51+I19)</f>
        <v>85578.4</v>
      </c>
      <c r="J51" s="116">
        <f>(I51+J19)</f>
        <v>85406.799999999988</v>
      </c>
      <c r="K51" s="116">
        <f t="shared" ref="K51:L51" si="29">(J51+K19)</f>
        <v>85235.199999999983</v>
      </c>
      <c r="L51" s="116">
        <f t="shared" si="29"/>
        <v>85063.599999999977</v>
      </c>
      <c r="M51" s="116">
        <f>(L51+M19)</f>
        <v>84891.999999999971</v>
      </c>
      <c r="N51" s="116"/>
      <c r="O51" s="116"/>
      <c r="P51" s="116"/>
      <c r="Q51" s="116"/>
      <c r="R51" s="116"/>
      <c r="S51" s="116"/>
      <c r="T51" s="116"/>
      <c r="U51" s="116"/>
      <c r="V51" s="116"/>
      <c r="W51" s="116"/>
      <c r="X51" s="116"/>
      <c r="Y51" s="116"/>
      <c r="Z51" s="116"/>
    </row>
    <row r="52" spans="1:26" ht="15.6" outlineLevel="1" x14ac:dyDescent="0.3">
      <c r="A52" s="132" t="s">
        <v>136</v>
      </c>
      <c r="B52" s="132"/>
      <c r="C52" s="133"/>
      <c r="D52" s="132">
        <f t="shared" ref="D52:M52" si="30">SUM(D50:D51)</f>
        <v>146297</v>
      </c>
      <c r="E52" s="132">
        <f t="shared" si="30"/>
        <v>162431</v>
      </c>
      <c r="F52" s="132">
        <f t="shared" si="30"/>
        <v>148101</v>
      </c>
      <c r="G52" s="132">
        <f t="shared" si="30"/>
        <v>145129</v>
      </c>
      <c r="H52" s="132">
        <f t="shared" si="30"/>
        <v>131638</v>
      </c>
      <c r="I52" s="132">
        <f t="shared" si="30"/>
        <v>146830.16699629219</v>
      </c>
      <c r="J52" s="132">
        <f t="shared" si="30"/>
        <v>152825.80924798903</v>
      </c>
      <c r="K52" s="132">
        <f>SUM(K50:K51)</f>
        <v>159442.41116919907</v>
      </c>
      <c r="L52" s="132">
        <f t="shared" si="30"/>
        <v>166742.49518006161</v>
      </c>
      <c r="M52" s="132">
        <f t="shared" si="30"/>
        <v>174794.87888092187</v>
      </c>
      <c r="N52" s="116"/>
      <c r="O52" s="116"/>
      <c r="P52" s="116"/>
      <c r="Q52" s="116"/>
      <c r="R52" s="116"/>
      <c r="S52" s="116"/>
      <c r="T52" s="116"/>
      <c r="U52" s="116"/>
      <c r="V52" s="116"/>
      <c r="W52" s="116"/>
      <c r="X52" s="116"/>
      <c r="Y52" s="116"/>
      <c r="Z52" s="116"/>
    </row>
    <row r="53" spans="1:26" ht="15.6" outlineLevel="1" x14ac:dyDescent="0.3">
      <c r="A53" s="130" t="s">
        <v>137</v>
      </c>
      <c r="B53" s="116"/>
      <c r="C53" s="126"/>
      <c r="D53" s="129"/>
      <c r="E53" s="129"/>
      <c r="F53" s="129"/>
      <c r="G53" s="129"/>
      <c r="H53" s="129"/>
      <c r="I53" s="116"/>
      <c r="J53" s="116"/>
      <c r="K53" s="116"/>
      <c r="L53" s="116"/>
      <c r="M53" s="116"/>
      <c r="N53" s="116"/>
      <c r="O53" s="116"/>
      <c r="P53" s="116"/>
      <c r="Q53" s="116"/>
      <c r="R53" s="116"/>
      <c r="S53" s="116"/>
      <c r="T53" s="116"/>
      <c r="U53" s="116"/>
      <c r="V53" s="116"/>
      <c r="W53" s="116"/>
      <c r="X53" s="116"/>
      <c r="Y53" s="116"/>
      <c r="Z53" s="116"/>
    </row>
    <row r="54" spans="1:26" ht="15.6" outlineLevel="1" x14ac:dyDescent="0.3">
      <c r="A54" s="116" t="s">
        <v>138</v>
      </c>
      <c r="B54" s="116"/>
      <c r="C54" s="126"/>
      <c r="D54" s="129" t="s">
        <v>139</v>
      </c>
      <c r="E54" s="129" t="s">
        <v>139</v>
      </c>
      <c r="F54" s="129" t="s">
        <v>139</v>
      </c>
      <c r="G54" s="129" t="s">
        <v>139</v>
      </c>
      <c r="H54" s="129" t="s">
        <v>139</v>
      </c>
      <c r="I54" s="129" t="s">
        <v>139</v>
      </c>
      <c r="J54" s="129" t="s">
        <v>139</v>
      </c>
      <c r="K54" s="129" t="s">
        <v>139</v>
      </c>
      <c r="L54" s="129" t="s">
        <v>139</v>
      </c>
      <c r="M54" s="129" t="s">
        <v>139</v>
      </c>
      <c r="N54" s="116"/>
      <c r="O54" s="116"/>
      <c r="P54" s="116"/>
      <c r="Q54" s="116"/>
      <c r="R54" s="116"/>
      <c r="S54" s="116"/>
      <c r="T54" s="116"/>
      <c r="U54" s="116"/>
      <c r="V54" s="116"/>
      <c r="W54" s="116"/>
      <c r="X54" s="116"/>
      <c r="Y54" s="116"/>
      <c r="Z54" s="116"/>
    </row>
    <row r="55" spans="1:26" ht="15.6" outlineLevel="1" x14ac:dyDescent="0.3">
      <c r="A55" s="116" t="s">
        <v>140</v>
      </c>
      <c r="B55" s="116"/>
      <c r="C55" s="126"/>
      <c r="D55" s="129">
        <v>14966</v>
      </c>
      <c r="E55" s="129">
        <v>5562</v>
      </c>
      <c r="F55" s="129">
        <v>-3068</v>
      </c>
      <c r="G55" s="129">
        <v>-214</v>
      </c>
      <c r="H55" s="129">
        <v>-19154</v>
      </c>
      <c r="I55" s="116">
        <f>H55+I37+I20</f>
        <v>-2535.278651124012</v>
      </c>
      <c r="J55" s="116">
        <f>I55+J37+J20</f>
        <v>24219.047810918099</v>
      </c>
      <c r="K55" s="116">
        <f t="shared" ref="K55:L55" si="31">J55+K37+K20</f>
        <v>62129.500673360657</v>
      </c>
      <c r="L55" s="116">
        <f t="shared" si="31"/>
        <v>112319.35421016844</v>
      </c>
      <c r="M55" s="116">
        <f>(L55+M37)+M20</f>
        <v>176024.98154783499</v>
      </c>
      <c r="N55" s="116"/>
      <c r="O55" s="116"/>
      <c r="P55" s="116"/>
      <c r="Q55" s="116"/>
      <c r="R55" s="116"/>
      <c r="S55" s="116"/>
      <c r="T55" s="116"/>
      <c r="U55" s="116"/>
      <c r="V55" s="116"/>
      <c r="W55" s="116"/>
      <c r="X55" s="116"/>
      <c r="Y55" s="116"/>
      <c r="Z55" s="116"/>
    </row>
    <row r="56" spans="1:26" ht="15.6" outlineLevel="1" x14ac:dyDescent="0.3">
      <c r="A56" s="151" t="s">
        <v>137</v>
      </c>
      <c r="B56" s="151"/>
      <c r="C56" s="152"/>
      <c r="D56" s="151">
        <f>(D55)</f>
        <v>14966</v>
      </c>
      <c r="E56" s="151">
        <f>(E55)</f>
        <v>5562</v>
      </c>
      <c r="F56" s="151">
        <f>(F55)</f>
        <v>-3068</v>
      </c>
      <c r="G56" s="151">
        <f t="shared" ref="G56:H56" si="32">(G55)</f>
        <v>-214</v>
      </c>
      <c r="H56" s="151">
        <f t="shared" si="32"/>
        <v>-19154</v>
      </c>
      <c r="I56" s="151">
        <f>SUM(I55)</f>
        <v>-2535.278651124012</v>
      </c>
      <c r="J56" s="151">
        <f t="shared" ref="J56:M56" si="33">SUM(J55)</f>
        <v>24219.047810918099</v>
      </c>
      <c r="K56" s="151">
        <f t="shared" si="33"/>
        <v>62129.500673360657</v>
      </c>
      <c r="L56" s="151">
        <f t="shared" si="33"/>
        <v>112319.35421016844</v>
      </c>
      <c r="M56" s="151">
        <f t="shared" si="33"/>
        <v>176024.98154783499</v>
      </c>
      <c r="N56" s="116"/>
      <c r="O56" s="116"/>
      <c r="P56" s="116"/>
      <c r="Q56" s="116"/>
      <c r="R56" s="116"/>
      <c r="S56" s="116"/>
      <c r="T56" s="116"/>
      <c r="U56" s="116"/>
      <c r="V56" s="116"/>
      <c r="W56" s="116"/>
      <c r="X56" s="116"/>
      <c r="Y56" s="116"/>
      <c r="Z56" s="116"/>
    </row>
    <row r="57" spans="1:26" ht="16.2" outlineLevel="1" thickBot="1" x14ac:dyDescent="0.35">
      <c r="A57" s="147" t="s">
        <v>141</v>
      </c>
      <c r="B57" s="147"/>
      <c r="C57" s="148"/>
      <c r="D57" s="147">
        <f>(D56+D52)</f>
        <v>161263</v>
      </c>
      <c r="E57" s="147">
        <f t="shared" ref="E57:H57" si="34">(E56+E52)</f>
        <v>167993</v>
      </c>
      <c r="F57" s="147">
        <f t="shared" si="34"/>
        <v>145033</v>
      </c>
      <c r="G57" s="147">
        <f>(G56+G52)</f>
        <v>144915</v>
      </c>
      <c r="H57" s="147">
        <f t="shared" si="34"/>
        <v>112484</v>
      </c>
      <c r="I57" s="147">
        <f>I56+I52</f>
        <v>144294.88834516818</v>
      </c>
      <c r="J57" s="147">
        <f>J56+J52</f>
        <v>177044.85705890713</v>
      </c>
      <c r="K57" s="147">
        <f t="shared" ref="K57:M57" si="35">K56+K52</f>
        <v>221571.91184255973</v>
      </c>
      <c r="L57" s="147">
        <f t="shared" si="35"/>
        <v>279061.84939023003</v>
      </c>
      <c r="M57" s="147">
        <f t="shared" si="35"/>
        <v>350819.86042875686</v>
      </c>
      <c r="N57" s="116"/>
      <c r="O57" s="116"/>
      <c r="P57" s="116"/>
      <c r="Q57" s="116"/>
      <c r="R57" s="116"/>
      <c r="S57" s="116"/>
      <c r="T57" s="116"/>
      <c r="U57" s="116"/>
      <c r="V57" s="116"/>
      <c r="W57" s="116"/>
      <c r="X57" s="116"/>
      <c r="Y57" s="116"/>
      <c r="Z57" s="116"/>
    </row>
    <row r="58" spans="1:26" ht="16.2" outlineLevel="1" thickTop="1" x14ac:dyDescent="0.3">
      <c r="A58" s="116"/>
      <c r="B58" s="116"/>
      <c r="C58" s="126"/>
      <c r="D58" s="129"/>
      <c r="E58" s="129"/>
      <c r="F58" s="129"/>
      <c r="G58" s="129"/>
      <c r="H58" s="129"/>
      <c r="I58" s="116"/>
      <c r="J58" s="116"/>
      <c r="K58" s="116"/>
      <c r="L58" s="116"/>
      <c r="M58" s="116"/>
      <c r="N58" s="116"/>
      <c r="O58" s="116"/>
      <c r="P58" s="116"/>
      <c r="Q58" s="116"/>
      <c r="R58" s="116"/>
      <c r="S58" s="116"/>
      <c r="T58" s="116"/>
      <c r="U58" s="116"/>
      <c r="V58" s="116"/>
      <c r="W58" s="116"/>
      <c r="X58" s="116"/>
      <c r="Y58" s="116"/>
      <c r="Z58" s="116"/>
    </row>
    <row r="59" spans="1:26" ht="15.6" outlineLevel="1" x14ac:dyDescent="0.3">
      <c r="A59" s="139"/>
      <c r="B59" s="153"/>
      <c r="C59" s="154"/>
      <c r="D59" s="153"/>
      <c r="E59" s="153"/>
      <c r="F59" s="153"/>
      <c r="G59" s="153"/>
      <c r="H59" s="153"/>
      <c r="I59" s="153"/>
      <c r="J59" s="153"/>
      <c r="K59" s="153"/>
      <c r="L59" s="153"/>
      <c r="M59" s="153"/>
      <c r="N59" s="116"/>
      <c r="O59" s="116"/>
      <c r="P59" s="116"/>
      <c r="Q59" s="116"/>
      <c r="R59" s="116"/>
      <c r="S59" s="116"/>
      <c r="T59" s="116"/>
      <c r="U59" s="116"/>
      <c r="V59" s="116"/>
      <c r="W59" s="116"/>
      <c r="X59" s="116"/>
      <c r="Y59" s="116"/>
      <c r="Z59" s="116"/>
    </row>
    <row r="60" spans="1:26" ht="15.6" outlineLevel="1" x14ac:dyDescent="0.3">
      <c r="A60" s="153"/>
      <c r="B60" s="153"/>
      <c r="C60" s="154"/>
      <c r="D60" s="153"/>
      <c r="E60" s="153"/>
      <c r="F60" s="153"/>
      <c r="G60" s="153"/>
      <c r="H60" s="153"/>
      <c r="I60" s="153"/>
      <c r="J60" s="153"/>
      <c r="K60" s="153"/>
      <c r="L60" s="153"/>
      <c r="M60" s="153"/>
      <c r="N60" s="116"/>
      <c r="O60" s="116"/>
      <c r="P60" s="116"/>
      <c r="Q60" s="116"/>
      <c r="R60" s="116"/>
      <c r="S60" s="116"/>
      <c r="T60" s="116"/>
      <c r="U60" s="116"/>
      <c r="V60" s="116"/>
      <c r="W60" s="116"/>
      <c r="X60" s="116"/>
      <c r="Y60" s="116"/>
      <c r="Z60" s="116"/>
    </row>
    <row r="61" spans="1:26" ht="15.6" x14ac:dyDescent="0.3">
      <c r="A61" s="116"/>
      <c r="B61" s="116"/>
      <c r="C61" s="126"/>
      <c r="D61" s="129"/>
      <c r="E61" s="129"/>
      <c r="F61" s="129"/>
      <c r="G61" s="129"/>
      <c r="H61" s="129"/>
      <c r="I61" s="116"/>
      <c r="J61" s="116"/>
      <c r="K61" s="116"/>
      <c r="L61" s="116"/>
      <c r="M61" s="116"/>
      <c r="N61" s="116"/>
      <c r="O61" s="116"/>
      <c r="P61" s="116"/>
      <c r="Q61" s="116"/>
      <c r="R61" s="116"/>
      <c r="S61" s="116"/>
      <c r="T61" s="116"/>
      <c r="U61" s="116"/>
      <c r="V61" s="116"/>
      <c r="W61" s="116"/>
      <c r="X61" s="116"/>
      <c r="Y61" s="116"/>
      <c r="Z61" s="116"/>
    </row>
    <row r="62" spans="1:26" ht="18" x14ac:dyDescent="0.3">
      <c r="A62" s="142" t="s">
        <v>142</v>
      </c>
      <c r="B62" s="142"/>
      <c r="C62" s="142"/>
      <c r="D62" s="142"/>
      <c r="E62" s="142"/>
      <c r="F62" s="142"/>
      <c r="G62" s="142"/>
      <c r="H62" s="142"/>
      <c r="I62" s="142"/>
      <c r="J62" s="142"/>
      <c r="K62" s="142"/>
      <c r="L62" s="142"/>
      <c r="M62" s="142"/>
      <c r="N62" s="116"/>
      <c r="O62" s="116"/>
      <c r="P62" s="116"/>
      <c r="Q62" s="116"/>
      <c r="R62" s="116"/>
      <c r="S62" s="116"/>
      <c r="T62" s="116"/>
      <c r="U62" s="116"/>
      <c r="V62" s="116"/>
      <c r="W62" s="116"/>
      <c r="X62" s="116"/>
      <c r="Y62" s="116"/>
      <c r="Z62" s="116"/>
    </row>
    <row r="63" spans="1:26" ht="15.6" outlineLevel="1" x14ac:dyDescent="0.3">
      <c r="A63" s="130"/>
      <c r="B63" s="116"/>
      <c r="C63" s="126"/>
      <c r="D63" s="144"/>
      <c r="E63" s="129"/>
      <c r="F63" s="129"/>
      <c r="G63" s="129"/>
      <c r="H63" s="129"/>
      <c r="I63" s="116"/>
      <c r="J63" s="116"/>
      <c r="K63" s="116"/>
      <c r="L63" s="116"/>
      <c r="M63" s="116"/>
      <c r="N63" s="116"/>
      <c r="O63" s="116"/>
      <c r="P63" s="116"/>
      <c r="Q63" s="116"/>
      <c r="R63" s="116"/>
      <c r="S63" s="116"/>
      <c r="T63" s="116"/>
      <c r="U63" s="116"/>
      <c r="V63" s="116"/>
      <c r="W63" s="116"/>
      <c r="X63" s="116"/>
      <c r="Y63" s="116"/>
      <c r="Z63" s="116"/>
    </row>
    <row r="64" spans="1:26" ht="15.6" outlineLevel="1" x14ac:dyDescent="0.3">
      <c r="A64" s="130" t="s">
        <v>143</v>
      </c>
      <c r="B64" s="116"/>
      <c r="C64" s="126"/>
      <c r="D64" s="129"/>
      <c r="E64" s="129"/>
      <c r="F64" s="129"/>
      <c r="G64" s="129"/>
      <c r="H64" s="129"/>
      <c r="I64" s="116"/>
      <c r="J64" s="116"/>
      <c r="K64" s="116"/>
      <c r="L64" s="116"/>
      <c r="M64" s="116"/>
      <c r="N64" s="116"/>
      <c r="O64" s="116"/>
      <c r="P64" s="116"/>
      <c r="Q64" s="116"/>
      <c r="R64" s="116"/>
      <c r="S64" s="116"/>
      <c r="T64" s="116"/>
      <c r="U64" s="116"/>
      <c r="V64" s="116"/>
      <c r="W64" s="116"/>
      <c r="X64" s="116"/>
      <c r="Y64" s="116"/>
      <c r="Z64" s="116"/>
    </row>
    <row r="65" spans="1:26" ht="15.6" outlineLevel="1" x14ac:dyDescent="0.3">
      <c r="A65" s="116" t="s">
        <v>131</v>
      </c>
      <c r="B65" s="116"/>
      <c r="C65" s="126"/>
      <c r="D65" s="129">
        <v>57411</v>
      </c>
      <c r="E65" s="129">
        <v>94680</v>
      </c>
      <c r="F65" s="129">
        <v>99803</v>
      </c>
      <c r="G65" s="129">
        <v>96995</v>
      </c>
      <c r="H65" s="129">
        <v>93736</v>
      </c>
      <c r="I65" s="116">
        <f>I37</f>
        <v>100664.72134887599</v>
      </c>
      <c r="J65" s="116">
        <f t="shared" ref="J65:M65" si="36">J37</f>
        <v>110800.32646204211</v>
      </c>
      <c r="K65" s="116">
        <f t="shared" si="36"/>
        <v>121956.45286244256</v>
      </c>
      <c r="L65" s="116">
        <f t="shared" si="36"/>
        <v>134235.85353680779</v>
      </c>
      <c r="M65" s="116">
        <f t="shared" si="36"/>
        <v>147751.62733766655</v>
      </c>
      <c r="N65" s="116"/>
      <c r="O65" s="116"/>
      <c r="P65" s="116"/>
      <c r="Q65" s="116"/>
      <c r="R65" s="116"/>
      <c r="S65" s="116"/>
      <c r="T65" s="116"/>
      <c r="U65" s="116"/>
      <c r="V65" s="116"/>
      <c r="W65" s="116"/>
      <c r="X65" s="116"/>
      <c r="Y65" s="116"/>
      <c r="Z65" s="116"/>
    </row>
    <row r="66" spans="1:26" ht="15.6" outlineLevel="1" x14ac:dyDescent="0.3">
      <c r="A66" s="116" t="s">
        <v>144</v>
      </c>
      <c r="B66" s="116"/>
      <c r="C66" s="126"/>
      <c r="D66" s="129">
        <v>11056</v>
      </c>
      <c r="E66" s="129">
        <v>11284</v>
      </c>
      <c r="F66" s="129">
        <v>11104</v>
      </c>
      <c r="G66" s="129">
        <v>11519</v>
      </c>
      <c r="H66" s="129">
        <v>11445</v>
      </c>
      <c r="I66" s="116">
        <f>I12*H46</f>
        <v>12466.20096327297</v>
      </c>
      <c r="J66" s="116">
        <f t="shared" ref="J66:L66" si="37">J12*I46</f>
        <v>11766.314120042578</v>
      </c>
      <c r="K66" s="116">
        <f>K12*J46</f>
        <v>11257.428372242588</v>
      </c>
      <c r="L66" s="116">
        <f t="shared" si="37"/>
        <v>10887.418981697854</v>
      </c>
      <c r="M66" s="116">
        <f>M12*L46</f>
        <v>10618.386198439217</v>
      </c>
      <c r="N66" s="116"/>
      <c r="O66" s="116"/>
      <c r="P66" s="116"/>
      <c r="Q66" s="116"/>
      <c r="R66" s="116"/>
      <c r="S66" s="116"/>
      <c r="T66" s="116"/>
      <c r="U66" s="116"/>
      <c r="V66" s="116"/>
      <c r="W66" s="116"/>
      <c r="X66" s="116"/>
      <c r="Y66" s="116"/>
      <c r="Z66" s="116"/>
    </row>
    <row r="67" spans="1:26" ht="15.6" outlineLevel="1" x14ac:dyDescent="0.3">
      <c r="A67" s="116" t="s">
        <v>145</v>
      </c>
      <c r="B67" s="116"/>
      <c r="C67" s="126"/>
      <c r="D67" s="129">
        <f>(6917+(-127)-(-4062))</f>
        <v>10852</v>
      </c>
      <c r="E67" s="129">
        <f>((-10125)+(-2642)-(12326))</f>
        <v>-25093</v>
      </c>
      <c r="F67" s="129">
        <f>((-1823)+(1484)-(9448))</f>
        <v>-9787</v>
      </c>
      <c r="G67" s="129">
        <f>((-1688)+(-1618)-(-1889))</f>
        <v>-1417</v>
      </c>
      <c r="H67" s="129">
        <f>((-3788)+(-1046)-(6020))</f>
        <v>-10854</v>
      </c>
      <c r="I67" s="116">
        <f>(I44+I45-I50)-(H44+H45-H50)</f>
        <v>-16490.985161806231</v>
      </c>
      <c r="J67" s="116">
        <f>(J44+J45-J50)-(I44+I45-I50)</f>
        <v>1122.6589205388664</v>
      </c>
      <c r="K67" s="116">
        <f t="shared" ref="K67:M67" si="38">(K44+K45-K50)-(J44+J45-J50)</f>
        <v>1235.6958151220169</v>
      </c>
      <c r="L67" s="116">
        <f t="shared" si="38"/>
        <v>1360.1140289137547</v>
      </c>
      <c r="M67" s="116">
        <f t="shared" si="38"/>
        <v>1497.0595101232757</v>
      </c>
      <c r="N67" s="116"/>
      <c r="O67" s="116"/>
      <c r="P67" s="116"/>
      <c r="Q67" s="116"/>
      <c r="R67" s="116"/>
      <c r="S67" s="116"/>
      <c r="T67" s="116"/>
      <c r="U67" s="116"/>
      <c r="V67" s="116"/>
      <c r="W67" s="116"/>
      <c r="X67" s="116"/>
      <c r="Y67" s="116"/>
      <c r="Z67" s="116"/>
    </row>
    <row r="68" spans="1:26" ht="15.6" outlineLevel="1" x14ac:dyDescent="0.3">
      <c r="A68" s="132" t="s">
        <v>146</v>
      </c>
      <c r="B68" s="131"/>
      <c r="C68" s="155"/>
      <c r="D68" s="132">
        <f>SUM(D65:D67)</f>
        <v>79319</v>
      </c>
      <c r="E68" s="132">
        <f>SUM(E65:E67)</f>
        <v>80871</v>
      </c>
      <c r="F68" s="132">
        <f>SUM(F65:F67)</f>
        <v>101120</v>
      </c>
      <c r="G68" s="132">
        <f>SUM(G65:G67)</f>
        <v>107097</v>
      </c>
      <c r="H68" s="132">
        <f>SUM(H65:H67)</f>
        <v>94327</v>
      </c>
      <c r="I68" s="132">
        <f>(I65+I66-I67)</f>
        <v>129621.90747395519</v>
      </c>
      <c r="J68" s="132">
        <f>(J65+J66-J67)</f>
        <v>121443.98166154581</v>
      </c>
      <c r="K68" s="132">
        <f>(K65+K66-K67)</f>
        <v>131978.18541956312</v>
      </c>
      <c r="L68" s="132">
        <f>(L65+L66-L67)</f>
        <v>143763.15848959188</v>
      </c>
      <c r="M68" s="132">
        <f>(M65+M66-M67)</f>
        <v>156872.9540259825</v>
      </c>
      <c r="N68" s="116"/>
      <c r="O68" s="116"/>
      <c r="P68" s="116"/>
      <c r="Q68" s="116"/>
      <c r="R68" s="116"/>
      <c r="S68" s="116"/>
      <c r="T68" s="116"/>
      <c r="U68" s="116"/>
      <c r="V68" s="116"/>
      <c r="W68" s="116"/>
      <c r="X68" s="116"/>
      <c r="Y68" s="116"/>
      <c r="Z68" s="116"/>
    </row>
    <row r="69" spans="1:26" ht="15.6" outlineLevel="1" x14ac:dyDescent="0.3">
      <c r="A69" s="130"/>
      <c r="B69" s="116"/>
      <c r="C69" s="126"/>
      <c r="D69" s="144"/>
      <c r="E69" s="144"/>
      <c r="F69" s="144"/>
      <c r="G69" s="144"/>
      <c r="H69" s="144"/>
      <c r="I69" s="130"/>
      <c r="J69" s="130"/>
      <c r="K69" s="130"/>
      <c r="L69" s="130"/>
      <c r="M69" s="130"/>
      <c r="N69" s="116"/>
      <c r="O69" s="116"/>
      <c r="P69" s="116"/>
      <c r="Q69" s="116"/>
      <c r="R69" s="116"/>
      <c r="S69" s="116"/>
      <c r="T69" s="116"/>
      <c r="U69" s="116"/>
      <c r="V69" s="116"/>
      <c r="W69" s="116"/>
      <c r="X69" s="116"/>
      <c r="Y69" s="116"/>
      <c r="Z69" s="116"/>
    </row>
    <row r="70" spans="1:26" ht="15.6" outlineLevel="1" x14ac:dyDescent="0.3">
      <c r="A70" s="130" t="s">
        <v>147</v>
      </c>
      <c r="B70" s="116"/>
      <c r="C70" s="126"/>
      <c r="D70" s="129"/>
      <c r="E70" s="129"/>
      <c r="F70" s="129"/>
      <c r="G70" s="129"/>
      <c r="H70" s="129"/>
      <c r="I70" s="116"/>
      <c r="J70" s="116"/>
      <c r="K70" s="116"/>
      <c r="L70" s="116"/>
      <c r="M70" s="116"/>
      <c r="N70" s="116"/>
      <c r="O70" s="116"/>
      <c r="P70" s="116"/>
      <c r="Q70" s="116"/>
      <c r="R70" s="116"/>
      <c r="S70" s="116"/>
      <c r="T70" s="116"/>
      <c r="U70" s="116"/>
      <c r="V70" s="116"/>
      <c r="W70" s="116"/>
      <c r="X70" s="116"/>
      <c r="Y70" s="116"/>
      <c r="Z70" s="116"/>
    </row>
    <row r="71" spans="1:26" ht="15.6" outlineLevel="1" x14ac:dyDescent="0.3">
      <c r="A71" s="116" t="s">
        <v>148</v>
      </c>
      <c r="B71" s="116"/>
      <c r="C71" s="126"/>
      <c r="D71" s="129">
        <v>-7309</v>
      </c>
      <c r="E71" s="129">
        <v>-11085</v>
      </c>
      <c r="F71" s="129">
        <v>-10708</v>
      </c>
      <c r="G71" s="129">
        <v>-10959</v>
      </c>
      <c r="H71" s="129">
        <v>-9447</v>
      </c>
      <c r="I71" s="116">
        <f>-(I18)</f>
        <v>-9901.6</v>
      </c>
      <c r="J71" s="116">
        <f t="shared" ref="J71:M71" si="39">-(J18)</f>
        <v>-9901.6</v>
      </c>
      <c r="K71" s="116">
        <f t="shared" si="39"/>
        <v>-9901.6</v>
      </c>
      <c r="L71" s="116">
        <f t="shared" si="39"/>
        <v>-9901.6</v>
      </c>
      <c r="M71" s="116">
        <f t="shared" si="39"/>
        <v>-9901.6</v>
      </c>
      <c r="N71" s="116"/>
      <c r="O71" s="116"/>
      <c r="P71" s="116"/>
      <c r="Q71" s="116"/>
      <c r="R71" s="116"/>
      <c r="S71" s="116"/>
      <c r="T71" s="116"/>
      <c r="U71" s="116"/>
      <c r="V71" s="116"/>
      <c r="W71" s="116"/>
      <c r="X71" s="116"/>
      <c r="Y71" s="116"/>
      <c r="Z71" s="116"/>
    </row>
    <row r="72" spans="1:26" ht="15.6" outlineLevel="1" x14ac:dyDescent="0.3">
      <c r="A72" s="132" t="s">
        <v>149</v>
      </c>
      <c r="B72" s="131"/>
      <c r="C72" s="155"/>
      <c r="D72" s="132">
        <f>D71</f>
        <v>-7309</v>
      </c>
      <c r="E72" s="132">
        <f t="shared" ref="E72:H72" si="40">E71</f>
        <v>-11085</v>
      </c>
      <c r="F72" s="132">
        <f t="shared" si="40"/>
        <v>-10708</v>
      </c>
      <c r="G72" s="132">
        <f t="shared" si="40"/>
        <v>-10959</v>
      </c>
      <c r="H72" s="132">
        <f t="shared" si="40"/>
        <v>-9447</v>
      </c>
      <c r="I72" s="132">
        <f>I71</f>
        <v>-9901.6</v>
      </c>
      <c r="J72" s="132">
        <f t="shared" ref="J72:M72" si="41">J71</f>
        <v>-9901.6</v>
      </c>
      <c r="K72" s="132">
        <f t="shared" si="41"/>
        <v>-9901.6</v>
      </c>
      <c r="L72" s="132">
        <f t="shared" si="41"/>
        <v>-9901.6</v>
      </c>
      <c r="M72" s="132">
        <f t="shared" si="41"/>
        <v>-9901.6</v>
      </c>
      <c r="N72" s="116"/>
      <c r="O72" s="116"/>
      <c r="P72" s="116"/>
      <c r="Q72" s="116"/>
      <c r="R72" s="116"/>
      <c r="S72" s="116"/>
      <c r="T72" s="116"/>
      <c r="U72" s="116"/>
      <c r="V72" s="116"/>
      <c r="W72" s="116"/>
      <c r="X72" s="116"/>
      <c r="Y72" s="116"/>
      <c r="Z72" s="116"/>
    </row>
    <row r="73" spans="1:26" ht="15.6" outlineLevel="1" x14ac:dyDescent="0.3">
      <c r="A73" s="130"/>
      <c r="B73" s="116"/>
      <c r="C73" s="126"/>
      <c r="D73" s="144"/>
      <c r="E73" s="144"/>
      <c r="F73" s="144"/>
      <c r="G73" s="144"/>
      <c r="H73" s="144"/>
      <c r="I73" s="130"/>
      <c r="J73" s="130"/>
      <c r="K73" s="130"/>
      <c r="L73" s="130"/>
      <c r="M73" s="130"/>
      <c r="N73" s="116"/>
      <c r="O73" s="116"/>
      <c r="P73" s="116"/>
      <c r="Q73" s="116"/>
      <c r="R73" s="116"/>
      <c r="S73" s="116"/>
      <c r="T73" s="116"/>
      <c r="U73" s="116"/>
      <c r="V73" s="116"/>
      <c r="W73" s="116"/>
      <c r="X73" s="116"/>
      <c r="Y73" s="116"/>
      <c r="Z73" s="116"/>
    </row>
    <row r="74" spans="1:26" ht="15.6" outlineLevel="1" x14ac:dyDescent="0.3">
      <c r="A74" s="130" t="s">
        <v>150</v>
      </c>
      <c r="B74" s="116"/>
      <c r="C74" s="126"/>
      <c r="D74" s="129"/>
      <c r="E74" s="129"/>
      <c r="F74" s="129"/>
      <c r="G74" s="129"/>
      <c r="H74" s="129"/>
      <c r="I74" s="116"/>
      <c r="J74" s="116"/>
      <c r="K74" s="116"/>
      <c r="L74" s="116"/>
      <c r="M74" s="116"/>
      <c r="N74" s="116"/>
      <c r="O74" s="116"/>
      <c r="P74" s="116"/>
      <c r="Q74" s="116"/>
      <c r="R74" s="116"/>
      <c r="S74" s="116"/>
      <c r="T74" s="116"/>
      <c r="U74" s="116"/>
      <c r="V74" s="116"/>
      <c r="W74" s="116"/>
      <c r="X74" s="116"/>
      <c r="Y74" s="116"/>
      <c r="Z74" s="116"/>
    </row>
    <row r="75" spans="1:26" ht="15.6" outlineLevel="1" x14ac:dyDescent="0.3">
      <c r="A75" s="116" t="s">
        <v>151</v>
      </c>
      <c r="B75" s="116"/>
      <c r="C75" s="126"/>
      <c r="D75" s="129">
        <v>2499</v>
      </c>
      <c r="E75" s="129">
        <v>12665</v>
      </c>
      <c r="F75" s="129">
        <v>-123</v>
      </c>
      <c r="G75" s="129">
        <v>-9901</v>
      </c>
      <c r="H75" s="129">
        <v>-5998</v>
      </c>
      <c r="I75" s="116">
        <f>I19</f>
        <v>-171.6</v>
      </c>
      <c r="J75" s="116">
        <f t="shared" ref="J75:M76" si="42">J19</f>
        <v>-171.6</v>
      </c>
      <c r="K75" s="116">
        <f t="shared" si="42"/>
        <v>-171.6</v>
      </c>
      <c r="L75" s="116">
        <f t="shared" si="42"/>
        <v>-171.6</v>
      </c>
      <c r="M75" s="116">
        <f t="shared" si="42"/>
        <v>-171.6</v>
      </c>
      <c r="N75" s="116"/>
      <c r="O75" s="116"/>
      <c r="P75" s="116"/>
      <c r="Q75" s="116"/>
      <c r="R75" s="116"/>
      <c r="S75" s="116"/>
      <c r="T75" s="116"/>
      <c r="U75" s="116"/>
      <c r="V75" s="116"/>
      <c r="W75" s="116"/>
      <c r="X75" s="116"/>
      <c r="Y75" s="116"/>
      <c r="Z75" s="116"/>
    </row>
    <row r="76" spans="1:26" ht="15.6" outlineLevel="1" x14ac:dyDescent="0.3">
      <c r="A76" s="116" t="s">
        <v>152</v>
      </c>
      <c r="B76" s="116"/>
      <c r="C76" s="126"/>
      <c r="D76" s="129">
        <v>-72358</v>
      </c>
      <c r="E76" s="129">
        <v>-85971</v>
      </c>
      <c r="F76" s="129">
        <v>-89402</v>
      </c>
      <c r="G76" s="129">
        <v>-77550</v>
      </c>
      <c r="H76" s="129">
        <v>-94949</v>
      </c>
      <c r="I76" s="116">
        <f>I20</f>
        <v>-84046</v>
      </c>
      <c r="J76" s="116">
        <f t="shared" si="42"/>
        <v>-84046</v>
      </c>
      <c r="K76" s="116">
        <f t="shared" si="42"/>
        <v>-84046</v>
      </c>
      <c r="L76" s="116">
        <f t="shared" si="42"/>
        <v>-84046</v>
      </c>
      <c r="M76" s="116">
        <f t="shared" si="42"/>
        <v>-84046</v>
      </c>
      <c r="N76" s="116"/>
      <c r="O76" s="116"/>
      <c r="P76" s="116"/>
      <c r="Q76" s="116"/>
      <c r="R76" s="116"/>
      <c r="S76" s="116"/>
      <c r="T76" s="116"/>
      <c r="U76" s="116"/>
      <c r="V76" s="116"/>
      <c r="W76" s="116"/>
      <c r="X76" s="116"/>
      <c r="Y76" s="116"/>
      <c r="Z76" s="116"/>
    </row>
    <row r="77" spans="1:26" ht="15.6" outlineLevel="1" x14ac:dyDescent="0.3">
      <c r="A77" s="132" t="s">
        <v>153</v>
      </c>
      <c r="B77" s="131"/>
      <c r="C77" s="155"/>
      <c r="D77" s="132">
        <f>SUM(D75:D76)</f>
        <v>-69859</v>
      </c>
      <c r="E77" s="132">
        <f t="shared" ref="E77:G77" si="43">SUM(E75:E76)</f>
        <v>-73306</v>
      </c>
      <c r="F77" s="132" t="s">
        <v>86</v>
      </c>
      <c r="G77" s="132">
        <f t="shared" si="43"/>
        <v>-87451</v>
      </c>
      <c r="H77" s="132">
        <f>SUM(H75:H76)</f>
        <v>-100947</v>
      </c>
      <c r="I77" s="132">
        <f>SUM(I75:I76)</f>
        <v>-84217.600000000006</v>
      </c>
      <c r="J77" s="132">
        <f t="shared" ref="J77:M77" si="44">SUM(J75:J76)</f>
        <v>-84217.600000000006</v>
      </c>
      <c r="K77" s="132">
        <f t="shared" si="44"/>
        <v>-84217.600000000006</v>
      </c>
      <c r="L77" s="132">
        <f t="shared" si="44"/>
        <v>-84217.600000000006</v>
      </c>
      <c r="M77" s="132">
        <f t="shared" si="44"/>
        <v>-84217.600000000006</v>
      </c>
      <c r="N77" s="116"/>
      <c r="O77" s="116"/>
      <c r="P77" s="116"/>
      <c r="Q77" s="116"/>
      <c r="R77" s="116"/>
      <c r="S77" s="116"/>
      <c r="T77" s="116"/>
      <c r="U77" s="116"/>
      <c r="V77" s="116"/>
      <c r="W77" s="116"/>
      <c r="X77" s="116"/>
      <c r="Y77" s="116"/>
      <c r="Z77" s="116"/>
    </row>
    <row r="78" spans="1:26" ht="15.6" outlineLevel="1" x14ac:dyDescent="0.3">
      <c r="A78" s="130"/>
      <c r="B78" s="116"/>
      <c r="C78" s="126"/>
      <c r="D78" s="144"/>
      <c r="E78" s="144"/>
      <c r="F78" s="144"/>
      <c r="G78" s="144"/>
      <c r="H78" s="144"/>
      <c r="I78" s="130"/>
      <c r="J78" s="130"/>
      <c r="K78" s="130"/>
      <c r="L78" s="130"/>
      <c r="M78" s="130"/>
      <c r="N78" s="116"/>
      <c r="O78" s="116"/>
      <c r="P78" s="116"/>
      <c r="Q78" s="116"/>
      <c r="R78" s="116"/>
      <c r="S78" s="116"/>
      <c r="T78" s="116"/>
      <c r="U78" s="116"/>
      <c r="V78" s="116"/>
      <c r="W78" s="116"/>
      <c r="X78" s="116"/>
      <c r="Y78" s="116"/>
      <c r="Z78" s="116"/>
    </row>
    <row r="79" spans="1:26" ht="15.6" outlineLevel="1" x14ac:dyDescent="0.3">
      <c r="A79" s="116" t="s">
        <v>154</v>
      </c>
      <c r="B79" s="116"/>
      <c r="C79" s="126"/>
      <c r="D79" s="116">
        <f>SUM(D77,D72,D68)</f>
        <v>2151</v>
      </c>
      <c r="E79" s="116">
        <f t="shared" ref="E79:F79" si="45">SUM(E77,E72,E68)</f>
        <v>-3520</v>
      </c>
      <c r="F79" s="116">
        <f t="shared" si="45"/>
        <v>90412</v>
      </c>
      <c r="G79" s="116">
        <f>SUM(G77,G72,G68)</f>
        <v>8687</v>
      </c>
      <c r="H79" s="116">
        <f>SUM(H77,H72,H68)</f>
        <v>-16067</v>
      </c>
      <c r="I79" s="116">
        <f>SUM(I68+I72+I77)</f>
        <v>35502.707473955175</v>
      </c>
      <c r="J79" s="116">
        <f t="shared" ref="J79:M79" si="46">SUM(J68+J72+J77)</f>
        <v>27324.7816615458</v>
      </c>
      <c r="K79" s="116">
        <f t="shared" si="46"/>
        <v>37858.985419563105</v>
      </c>
      <c r="L79" s="116">
        <f t="shared" si="46"/>
        <v>49643.958489591867</v>
      </c>
      <c r="M79" s="116">
        <f t="shared" si="46"/>
        <v>62753.754025982489</v>
      </c>
      <c r="N79" s="116"/>
      <c r="O79" s="116"/>
      <c r="P79" s="116"/>
      <c r="Q79" s="116"/>
      <c r="R79" s="116"/>
      <c r="S79" s="116"/>
      <c r="T79" s="116"/>
      <c r="U79" s="116"/>
      <c r="V79" s="116"/>
      <c r="W79" s="116"/>
      <c r="X79" s="116"/>
      <c r="Y79" s="116"/>
      <c r="Z79" s="116"/>
    </row>
    <row r="80" spans="1:26" ht="15.6" outlineLevel="1" x14ac:dyDescent="0.3">
      <c r="A80" s="116" t="s">
        <v>155</v>
      </c>
      <c r="B80" s="116"/>
      <c r="C80" s="126"/>
      <c r="D80" s="129" t="s">
        <v>57</v>
      </c>
      <c r="E80" s="129">
        <f>D43</f>
        <v>90943</v>
      </c>
      <c r="F80" s="129">
        <f t="shared" ref="F80:M80" si="47">E43</f>
        <v>62639</v>
      </c>
      <c r="G80" s="129">
        <f t="shared" si="47"/>
        <v>48304</v>
      </c>
      <c r="H80" s="129">
        <f t="shared" si="47"/>
        <v>61555</v>
      </c>
      <c r="I80" s="129">
        <f>H43</f>
        <v>65171</v>
      </c>
      <c r="J80" s="129">
        <f t="shared" si="47"/>
        <v>28777.70747395519</v>
      </c>
      <c r="K80" s="129">
        <f t="shared" si="47"/>
        <v>56102.48913550099</v>
      </c>
      <c r="L80" s="129">
        <f t="shared" si="47"/>
        <v>93961.474555064138</v>
      </c>
      <c r="M80" s="129">
        <f t="shared" si="47"/>
        <v>143605.43304465598</v>
      </c>
      <c r="N80" s="116"/>
      <c r="O80" s="116"/>
      <c r="P80" s="116"/>
      <c r="Q80" s="116"/>
      <c r="R80" s="116"/>
      <c r="S80" s="116"/>
      <c r="T80" s="116"/>
      <c r="U80" s="116"/>
      <c r="V80" s="116"/>
      <c r="W80" s="116"/>
      <c r="X80" s="116"/>
      <c r="Y80" s="116"/>
      <c r="Z80" s="116"/>
    </row>
    <row r="81" spans="1:26" ht="15.6" outlineLevel="1" x14ac:dyDescent="0.3">
      <c r="A81" s="132" t="s">
        <v>156</v>
      </c>
      <c r="B81" s="131"/>
      <c r="C81" s="155"/>
      <c r="D81" s="129">
        <f>SUM(D79:D80)</f>
        <v>2151</v>
      </c>
      <c r="E81" s="129">
        <f>SUM(E79:E80)</f>
        <v>87423</v>
      </c>
      <c r="F81" s="129">
        <f t="shared" ref="F81:G81" si="48">SUM(F79:F80)</f>
        <v>153051</v>
      </c>
      <c r="G81" s="129">
        <f t="shared" si="48"/>
        <v>56991</v>
      </c>
      <c r="H81" s="129">
        <f>SUM(H79:H80)</f>
        <v>45488</v>
      </c>
      <c r="I81" s="132">
        <f>SUM(I79,I80)</f>
        <v>100673.70747395518</v>
      </c>
      <c r="J81" s="132">
        <f>SUM(J79,J80)</f>
        <v>56102.48913550099</v>
      </c>
      <c r="K81" s="132">
        <f t="shared" ref="K81:M81" si="49">SUM(K79,K80)</f>
        <v>93961.474555064095</v>
      </c>
      <c r="L81" s="132">
        <f t="shared" si="49"/>
        <v>143605.43304465601</v>
      </c>
      <c r="M81" s="132">
        <f t="shared" si="49"/>
        <v>206359.18707063847</v>
      </c>
      <c r="N81" s="116"/>
      <c r="O81" s="116"/>
      <c r="P81" s="116"/>
      <c r="Q81" s="116"/>
      <c r="R81" s="116"/>
      <c r="S81" s="116"/>
      <c r="T81" s="116"/>
      <c r="U81" s="116"/>
      <c r="V81" s="116"/>
      <c r="W81" s="116"/>
      <c r="X81" s="116"/>
      <c r="Y81" s="116"/>
      <c r="Z81" s="116"/>
    </row>
    <row r="82" spans="1:26" ht="15.6" outlineLevel="1" x14ac:dyDescent="0.3">
      <c r="A82" s="130"/>
      <c r="B82" s="116"/>
      <c r="C82" s="126"/>
      <c r="D82" s="144"/>
      <c r="E82" s="144"/>
      <c r="F82" s="144"/>
      <c r="G82" s="144"/>
      <c r="H82" s="144"/>
      <c r="I82" s="116"/>
      <c r="J82" s="116"/>
      <c r="K82" s="116"/>
      <c r="L82" s="116"/>
      <c r="M82" s="116"/>
      <c r="N82" s="116"/>
      <c r="O82" s="116"/>
      <c r="P82" s="116"/>
      <c r="Q82" s="116"/>
      <c r="R82" s="116"/>
      <c r="S82" s="116"/>
      <c r="T82" s="116"/>
      <c r="U82" s="116"/>
      <c r="V82" s="116"/>
      <c r="W82" s="116"/>
      <c r="X82" s="116"/>
      <c r="Y82" s="116"/>
      <c r="Z82" s="116"/>
    </row>
    <row r="83" spans="1:26" ht="15.6" outlineLevel="1" x14ac:dyDescent="0.3">
      <c r="A83" s="130"/>
      <c r="B83" s="116"/>
      <c r="C83" s="126"/>
      <c r="D83" s="144"/>
      <c r="E83" s="129"/>
      <c r="F83" s="129"/>
      <c r="G83" s="129"/>
      <c r="H83" s="129"/>
      <c r="I83" s="116"/>
      <c r="J83" s="116"/>
      <c r="K83" s="116"/>
      <c r="L83" s="116"/>
      <c r="M83" s="116"/>
      <c r="N83" s="116"/>
      <c r="O83" s="116"/>
      <c r="P83" s="116"/>
      <c r="Q83" s="116"/>
      <c r="R83" s="116"/>
      <c r="S83" s="116"/>
      <c r="T83" s="116"/>
      <c r="U83" s="116"/>
      <c r="V83" s="116"/>
      <c r="W83" s="116"/>
      <c r="X83" s="116"/>
      <c r="Y83" s="116"/>
      <c r="Z83" s="116"/>
    </row>
    <row r="84" spans="1:26" ht="15.6" x14ac:dyDescent="0.3">
      <c r="A84" s="116"/>
      <c r="B84" s="116"/>
      <c r="C84" s="126"/>
      <c r="D84" s="129"/>
      <c r="E84" s="129"/>
      <c r="F84" s="129"/>
      <c r="G84" s="129"/>
      <c r="H84" s="129"/>
      <c r="I84" s="116"/>
      <c r="J84" s="116"/>
      <c r="K84" s="116"/>
      <c r="L84" s="116"/>
      <c r="M84" s="116"/>
      <c r="N84" s="116"/>
      <c r="O84" s="116"/>
      <c r="P84" s="116"/>
      <c r="Q84" s="116"/>
      <c r="R84" s="116"/>
      <c r="S84" s="116"/>
      <c r="T84" s="116"/>
      <c r="U84" s="116"/>
      <c r="V84" s="116"/>
      <c r="W84" s="116"/>
      <c r="X84" s="116"/>
      <c r="Y84" s="116"/>
      <c r="Z84" s="116"/>
    </row>
    <row r="85" spans="1:26" ht="18" x14ac:dyDescent="0.3">
      <c r="A85" s="142" t="s">
        <v>157</v>
      </c>
      <c r="B85" s="142"/>
      <c r="C85" s="142"/>
      <c r="D85" s="142"/>
      <c r="E85" s="142"/>
      <c r="F85" s="142"/>
      <c r="G85" s="142"/>
      <c r="H85" s="142"/>
      <c r="I85" s="142"/>
      <c r="J85" s="142"/>
      <c r="K85" s="142"/>
      <c r="L85" s="142"/>
      <c r="M85" s="142"/>
      <c r="N85" s="116"/>
      <c r="O85" s="116"/>
      <c r="P85" s="116"/>
      <c r="Q85" s="116"/>
      <c r="R85" s="116"/>
      <c r="S85" s="116"/>
      <c r="T85" s="116"/>
      <c r="U85" s="116"/>
      <c r="V85" s="116"/>
      <c r="W85" s="116"/>
      <c r="X85" s="116"/>
      <c r="Y85" s="116"/>
      <c r="Z85" s="116"/>
    </row>
    <row r="86" spans="1:26" ht="15.6" outlineLevel="1" x14ac:dyDescent="0.3">
      <c r="A86" s="116"/>
      <c r="B86" s="116"/>
      <c r="C86" s="126"/>
      <c r="D86" s="129"/>
      <c r="E86" s="129"/>
      <c r="F86" s="129"/>
      <c r="G86" s="129"/>
      <c r="H86" s="129"/>
      <c r="I86" s="116"/>
      <c r="J86" s="116"/>
      <c r="K86" s="116"/>
      <c r="L86" s="116"/>
      <c r="M86" s="116"/>
      <c r="N86" s="116"/>
      <c r="O86" s="116"/>
      <c r="P86" s="116"/>
      <c r="Q86" s="116"/>
      <c r="R86" s="116"/>
      <c r="S86" s="116"/>
      <c r="T86" s="116"/>
      <c r="U86" s="116"/>
      <c r="V86" s="116"/>
      <c r="W86" s="116"/>
      <c r="X86" s="116"/>
      <c r="Y86" s="116"/>
      <c r="Z86" s="116"/>
    </row>
    <row r="87" spans="1:26" ht="15.6" outlineLevel="1" x14ac:dyDescent="0.3">
      <c r="A87" s="130" t="s">
        <v>158</v>
      </c>
      <c r="B87" s="116"/>
      <c r="C87" s="126"/>
      <c r="D87" s="129"/>
      <c r="E87" s="129"/>
      <c r="F87" s="129"/>
      <c r="G87" s="129"/>
      <c r="H87" s="129"/>
      <c r="I87" s="116"/>
      <c r="J87" s="116"/>
      <c r="K87" s="116"/>
      <c r="L87" s="116"/>
      <c r="M87" s="116"/>
      <c r="N87" s="116"/>
      <c r="O87" s="116"/>
      <c r="P87" s="116"/>
      <c r="Q87" s="116"/>
      <c r="R87" s="116"/>
      <c r="S87" s="116"/>
      <c r="T87" s="116"/>
      <c r="U87" s="116"/>
      <c r="V87" s="116"/>
      <c r="W87" s="116"/>
      <c r="X87" s="116"/>
      <c r="Y87" s="116"/>
      <c r="Z87" s="116"/>
    </row>
    <row r="88" spans="1:26" ht="15.6" outlineLevel="1" x14ac:dyDescent="0.3">
      <c r="A88" s="116" t="s">
        <v>132</v>
      </c>
      <c r="B88" s="116"/>
      <c r="C88" s="126"/>
      <c r="D88" s="116">
        <f>D44</f>
        <v>37445</v>
      </c>
      <c r="E88" s="116">
        <f t="shared" ref="E88:H89" si="50">E44</f>
        <v>51506</v>
      </c>
      <c r="F88" s="116">
        <f t="shared" si="50"/>
        <v>60932</v>
      </c>
      <c r="G88" s="116">
        <f t="shared" si="50"/>
        <v>60985</v>
      </c>
      <c r="H88" s="116">
        <f t="shared" si="50"/>
        <v>66243</v>
      </c>
      <c r="I88" s="116">
        <f>I44</f>
        <v>65442.369773992235</v>
      </c>
      <c r="J88" s="116">
        <f t="shared" ref="J88:M89" si="51">J44</f>
        <v>72031.550261565208</v>
      </c>
      <c r="K88" s="116">
        <f t="shared" si="51"/>
        <v>79284.174014529635</v>
      </c>
      <c r="L88" s="116">
        <f t="shared" si="51"/>
        <v>87267.040988847177</v>
      </c>
      <c r="M88" s="116">
        <f t="shared" si="51"/>
        <v>96053.677011928085</v>
      </c>
      <c r="N88" s="116"/>
      <c r="O88" s="116"/>
      <c r="P88" s="116"/>
      <c r="Q88" s="116"/>
      <c r="R88" s="116"/>
      <c r="S88" s="116"/>
      <c r="T88" s="116"/>
      <c r="U88" s="116"/>
      <c r="V88" s="116"/>
      <c r="W88" s="116"/>
      <c r="X88" s="116"/>
      <c r="Y88" s="116"/>
      <c r="Z88" s="116"/>
    </row>
    <row r="89" spans="1:26" ht="15.6" outlineLevel="1" x14ac:dyDescent="0.3">
      <c r="A89" s="116" t="s">
        <v>133</v>
      </c>
      <c r="B89" s="116"/>
      <c r="C89" s="126"/>
      <c r="D89" s="116">
        <f>D45</f>
        <v>4061</v>
      </c>
      <c r="E89" s="116">
        <f t="shared" si="50"/>
        <v>6580</v>
      </c>
      <c r="F89" s="116">
        <f t="shared" si="50"/>
        <v>4946</v>
      </c>
      <c r="G89" s="116">
        <f t="shared" si="50"/>
        <v>6331</v>
      </c>
      <c r="H89" s="116">
        <f>H45</f>
        <v>7286</v>
      </c>
      <c r="I89" s="116">
        <f>I45</f>
        <v>6959.4120604937198</v>
      </c>
      <c r="J89" s="116">
        <f>J45</f>
        <v>7660.1327451564794</v>
      </c>
      <c r="K89" s="116">
        <f>K45</f>
        <v>8431.4067285241017</v>
      </c>
      <c r="L89" s="116">
        <f t="shared" si="51"/>
        <v>9280.337793982877</v>
      </c>
      <c r="M89" s="116">
        <f t="shared" si="51"/>
        <v>10214.744981885475</v>
      </c>
      <c r="N89" s="116"/>
      <c r="O89" s="116"/>
      <c r="P89" s="116"/>
      <c r="Q89" s="116"/>
      <c r="R89" s="116"/>
      <c r="S89" s="116"/>
      <c r="T89" s="116"/>
      <c r="U89" s="116"/>
      <c r="V89" s="116"/>
      <c r="W89" s="116"/>
      <c r="X89" s="116"/>
      <c r="Y89" s="116"/>
      <c r="Z89" s="116"/>
    </row>
    <row r="90" spans="1:26" ht="15.6" outlineLevel="1" x14ac:dyDescent="0.3">
      <c r="A90" s="116" t="s">
        <v>135</v>
      </c>
      <c r="B90" s="116"/>
      <c r="C90" s="126"/>
      <c r="D90" s="116">
        <f>D50</f>
        <v>54490</v>
      </c>
      <c r="E90" s="116">
        <f t="shared" ref="E90:H90" si="52">E50</f>
        <v>53325</v>
      </c>
      <c r="F90" s="116">
        <f t="shared" si="52"/>
        <v>49142</v>
      </c>
      <c r="G90" s="116">
        <f>G50</f>
        <v>49848</v>
      </c>
      <c r="H90" s="116">
        <f t="shared" si="52"/>
        <v>45888</v>
      </c>
      <c r="I90" s="116">
        <f>I50</f>
        <v>61251.766996292186</v>
      </c>
      <c r="J90" s="116">
        <f t="shared" ref="J90:M90" si="53">J50</f>
        <v>67419.009247989059</v>
      </c>
      <c r="K90" s="116">
        <f t="shared" si="53"/>
        <v>74207.211169199087</v>
      </c>
      <c r="L90" s="116">
        <f t="shared" si="53"/>
        <v>81678.895180061649</v>
      </c>
      <c r="M90" s="116">
        <f t="shared" si="53"/>
        <v>89902.878880921882</v>
      </c>
      <c r="N90" s="116"/>
      <c r="O90" s="116"/>
      <c r="P90" s="116"/>
      <c r="Q90" s="116"/>
      <c r="R90" s="116"/>
      <c r="S90" s="116"/>
      <c r="T90" s="116"/>
      <c r="U90" s="116"/>
      <c r="V90" s="116"/>
      <c r="W90" s="116"/>
      <c r="X90" s="116"/>
      <c r="Y90" s="116"/>
      <c r="Z90" s="116"/>
    </row>
    <row r="91" spans="1:26" ht="15.6" outlineLevel="1" x14ac:dyDescent="0.3">
      <c r="A91" s="131" t="s">
        <v>159</v>
      </c>
      <c r="B91" s="131"/>
      <c r="C91" s="155"/>
      <c r="D91" s="131">
        <f>SUM(D88:D90)</f>
        <v>95996</v>
      </c>
      <c r="E91" s="131">
        <f t="shared" ref="E91:M91" si="54">SUM(E88:E90)</f>
        <v>111411</v>
      </c>
      <c r="F91" s="131">
        <f t="shared" si="54"/>
        <v>115020</v>
      </c>
      <c r="G91" s="131">
        <f t="shared" si="54"/>
        <v>117164</v>
      </c>
      <c r="H91" s="131">
        <f t="shared" si="54"/>
        <v>119417</v>
      </c>
      <c r="I91" s="131">
        <f t="shared" si="54"/>
        <v>133653.54883077813</v>
      </c>
      <c r="J91" s="131">
        <f>SUM(J88:J90)</f>
        <v>147110.69225471077</v>
      </c>
      <c r="K91" s="131">
        <f t="shared" si="54"/>
        <v>161922.79191225284</v>
      </c>
      <c r="L91" s="131">
        <f t="shared" si="54"/>
        <v>178226.27396289172</v>
      </c>
      <c r="M91" s="131">
        <f t="shared" si="54"/>
        <v>196171.30087473546</v>
      </c>
      <c r="N91" s="116"/>
      <c r="O91" s="116"/>
      <c r="P91" s="116"/>
      <c r="Q91" s="116"/>
      <c r="R91" s="116"/>
      <c r="S91" s="116"/>
      <c r="T91" s="116"/>
      <c r="U91" s="116"/>
      <c r="V91" s="116"/>
      <c r="W91" s="116"/>
      <c r="X91" s="116"/>
      <c r="Y91" s="116"/>
      <c r="Z91" s="116"/>
    </row>
    <row r="92" spans="1:26" ht="15.6" outlineLevel="1" x14ac:dyDescent="0.3">
      <c r="A92" s="116" t="s">
        <v>160</v>
      </c>
      <c r="B92" s="116"/>
      <c r="C92" s="126"/>
      <c r="D92" s="116">
        <f>(D91)</f>
        <v>95996</v>
      </c>
      <c r="E92" s="116">
        <f>E91-D91</f>
        <v>15415</v>
      </c>
      <c r="F92" s="116">
        <f>F91-E91</f>
        <v>3609</v>
      </c>
      <c r="G92" s="116">
        <f t="shared" ref="G92:H92" si="55">G91-F91</f>
        <v>2144</v>
      </c>
      <c r="H92" s="116">
        <f t="shared" si="55"/>
        <v>2253</v>
      </c>
      <c r="I92" s="116">
        <f>I91-H91</f>
        <v>14236.548830778134</v>
      </c>
      <c r="J92" s="116">
        <f>J91-I91</f>
        <v>13457.143423932634</v>
      </c>
      <c r="K92" s="116">
        <f>K91-J91</f>
        <v>14812.099657542072</v>
      </c>
      <c r="L92" s="116">
        <f>L91-K91</f>
        <v>16303.482050638879</v>
      </c>
      <c r="M92" s="116">
        <f>M91-L91</f>
        <v>17945.026911843743</v>
      </c>
      <c r="N92" s="116"/>
      <c r="O92" s="116"/>
      <c r="P92" s="116"/>
      <c r="Q92" s="116"/>
      <c r="R92" s="116"/>
      <c r="S92" s="116"/>
      <c r="T92" s="116"/>
      <c r="U92" s="116"/>
      <c r="V92" s="116"/>
      <c r="W92" s="116"/>
      <c r="X92" s="116"/>
      <c r="Y92" s="116"/>
      <c r="Z92" s="116"/>
    </row>
    <row r="93" spans="1:26" ht="15.6" outlineLevel="1" x14ac:dyDescent="0.3">
      <c r="A93" s="116"/>
      <c r="B93" s="116"/>
      <c r="C93" s="126"/>
      <c r="D93" s="129"/>
      <c r="E93" s="129"/>
      <c r="F93" s="129"/>
      <c r="G93" s="129"/>
      <c r="H93" s="129"/>
      <c r="I93" s="129"/>
      <c r="J93" s="129"/>
      <c r="K93" s="129"/>
      <c r="L93" s="129"/>
      <c r="M93" s="129"/>
      <c r="N93" s="116"/>
      <c r="O93" s="116"/>
      <c r="P93" s="116"/>
      <c r="Q93" s="116"/>
      <c r="R93" s="116"/>
      <c r="S93" s="116"/>
      <c r="T93" s="116"/>
      <c r="U93" s="116"/>
      <c r="V93" s="116"/>
      <c r="W93" s="116"/>
      <c r="X93" s="116"/>
      <c r="Y93" s="116"/>
      <c r="Z93" s="116"/>
    </row>
    <row r="94" spans="1:26" ht="15.6" outlineLevel="1" x14ac:dyDescent="0.3">
      <c r="A94" s="130" t="s">
        <v>161</v>
      </c>
      <c r="B94" s="116"/>
      <c r="C94" s="126"/>
      <c r="D94" s="129"/>
      <c r="E94" s="129"/>
      <c r="F94" s="129"/>
      <c r="G94" s="129"/>
      <c r="H94" s="129"/>
      <c r="I94" s="129"/>
      <c r="J94" s="129"/>
      <c r="K94" s="129"/>
      <c r="L94" s="129"/>
      <c r="M94" s="129"/>
      <c r="N94" s="116"/>
      <c r="O94" s="116"/>
      <c r="P94" s="116"/>
      <c r="Q94" s="116"/>
      <c r="R94" s="116"/>
      <c r="S94" s="116"/>
      <c r="T94" s="116"/>
      <c r="U94" s="116"/>
      <c r="V94" s="116"/>
      <c r="W94" s="116"/>
      <c r="X94" s="116"/>
      <c r="Y94" s="116"/>
      <c r="Z94" s="116"/>
    </row>
    <row r="95" spans="1:26" ht="15.6" outlineLevel="1" x14ac:dyDescent="0.3">
      <c r="A95" s="116" t="s">
        <v>162</v>
      </c>
      <c r="B95" s="116"/>
      <c r="C95" s="126"/>
      <c r="D95" s="129" t="s">
        <v>57</v>
      </c>
      <c r="E95" s="129">
        <f>D46</f>
        <v>36766</v>
      </c>
      <c r="F95" s="129">
        <f t="shared" ref="F95:H95" si="56">E46</f>
        <v>39440</v>
      </c>
      <c r="G95" s="129">
        <f t="shared" si="56"/>
        <v>42117</v>
      </c>
      <c r="H95" s="129">
        <f t="shared" si="56"/>
        <v>43715</v>
      </c>
      <c r="I95" s="116">
        <f>H98</f>
        <v>45680</v>
      </c>
      <c r="J95" s="116">
        <f>I98</f>
        <v>43115.399036727031</v>
      </c>
      <c r="K95" s="116">
        <f>J98</f>
        <v>41250.684916684448</v>
      </c>
      <c r="L95" s="116">
        <f>K98</f>
        <v>39894.856544441856</v>
      </c>
      <c r="M95" s="116">
        <f t="shared" ref="M95" si="57">L98</f>
        <v>38909.037562744001</v>
      </c>
      <c r="N95" s="116"/>
      <c r="O95" s="116"/>
      <c r="P95" s="116"/>
      <c r="Q95" s="116"/>
      <c r="R95" s="116"/>
      <c r="S95" s="116"/>
      <c r="T95" s="116"/>
      <c r="U95" s="116"/>
      <c r="V95" s="116"/>
      <c r="W95" s="116"/>
      <c r="X95" s="116"/>
      <c r="Y95" s="116"/>
      <c r="Z95" s="116"/>
    </row>
    <row r="96" spans="1:26" ht="15.6" outlineLevel="1" x14ac:dyDescent="0.3">
      <c r="A96" s="116" t="s">
        <v>163</v>
      </c>
      <c r="B96" s="116"/>
      <c r="C96" s="126"/>
      <c r="D96" s="129" t="s">
        <v>57</v>
      </c>
      <c r="E96" s="129">
        <f>(E98-E95)+E97</f>
        <v>13958</v>
      </c>
      <c r="F96" s="129">
        <f>(F98-F95)+F97</f>
        <v>13781</v>
      </c>
      <c r="G96" s="129">
        <f>(G98-G95)+G97</f>
        <v>13117</v>
      </c>
      <c r="H96" s="129">
        <f>(H98-H95)+H97</f>
        <v>13410</v>
      </c>
      <c r="I96" s="116">
        <f>I18</f>
        <v>9901.6</v>
      </c>
      <c r="J96" s="116">
        <f t="shared" ref="J96:M96" si="58">J18</f>
        <v>9901.6</v>
      </c>
      <c r="K96" s="116">
        <f t="shared" si="58"/>
        <v>9901.6</v>
      </c>
      <c r="L96" s="116">
        <f t="shared" si="58"/>
        <v>9901.6</v>
      </c>
      <c r="M96" s="116">
        <f t="shared" si="58"/>
        <v>9901.6</v>
      </c>
      <c r="N96" s="116"/>
      <c r="O96" s="116"/>
      <c r="P96" s="116"/>
      <c r="Q96" s="116"/>
      <c r="R96" s="116"/>
      <c r="S96" s="116"/>
      <c r="T96" s="116"/>
      <c r="U96" s="116"/>
      <c r="V96" s="116"/>
      <c r="W96" s="116"/>
      <c r="X96" s="116"/>
      <c r="Y96" s="116"/>
      <c r="Z96" s="116"/>
    </row>
    <row r="97" spans="1:26" ht="15.6" outlineLevel="1" x14ac:dyDescent="0.3">
      <c r="A97" s="116" t="s">
        <v>164</v>
      </c>
      <c r="B97" s="116"/>
      <c r="D97" s="129">
        <v>11056</v>
      </c>
      <c r="E97" s="129">
        <v>11284</v>
      </c>
      <c r="F97" s="129">
        <v>11104</v>
      </c>
      <c r="G97" s="129">
        <v>11519</v>
      </c>
      <c r="H97" s="129">
        <v>11445</v>
      </c>
      <c r="I97" s="116">
        <f>I66</f>
        <v>12466.20096327297</v>
      </c>
      <c r="J97" s="116">
        <f t="shared" ref="J97:M97" si="59">J66</f>
        <v>11766.314120042578</v>
      </c>
      <c r="K97" s="116">
        <f>K66</f>
        <v>11257.428372242588</v>
      </c>
      <c r="L97" s="116">
        <f t="shared" si="59"/>
        <v>10887.418981697854</v>
      </c>
      <c r="M97" s="116">
        <f t="shared" si="59"/>
        <v>10618.386198439217</v>
      </c>
      <c r="N97" s="116"/>
      <c r="O97" s="116"/>
      <c r="P97" s="116"/>
      <c r="Q97" s="116"/>
      <c r="R97" s="116"/>
      <c r="S97" s="116"/>
      <c r="T97" s="116"/>
      <c r="U97" s="116"/>
      <c r="V97" s="116"/>
      <c r="W97" s="116"/>
      <c r="X97" s="116"/>
      <c r="Y97" s="116"/>
      <c r="Z97" s="116"/>
    </row>
    <row r="98" spans="1:26" ht="15.6" outlineLevel="1" x14ac:dyDescent="0.3">
      <c r="A98" s="131" t="s">
        <v>165</v>
      </c>
      <c r="B98" s="131"/>
      <c r="C98" s="155"/>
      <c r="D98" s="129">
        <f>D46</f>
        <v>36766</v>
      </c>
      <c r="E98" s="129">
        <f t="shared" ref="E98:H98" si="60">E46</f>
        <v>39440</v>
      </c>
      <c r="F98" s="129">
        <f t="shared" si="60"/>
        <v>42117</v>
      </c>
      <c r="G98" s="129">
        <f t="shared" si="60"/>
        <v>43715</v>
      </c>
      <c r="H98" s="129">
        <f t="shared" si="60"/>
        <v>45680</v>
      </c>
      <c r="I98" s="129">
        <f>(I95+I96)-I97</f>
        <v>43115.399036727031</v>
      </c>
      <c r="J98" s="129">
        <f>(J95+J96)-J97</f>
        <v>41250.684916684448</v>
      </c>
      <c r="K98" s="129">
        <f t="shared" ref="K98:M98" si="61">(K95+K96)-K97</f>
        <v>39894.856544441856</v>
      </c>
      <c r="L98" s="129">
        <f t="shared" si="61"/>
        <v>38909.037562744001</v>
      </c>
      <c r="M98" s="129">
        <f t="shared" si="61"/>
        <v>38192.251364304786</v>
      </c>
      <c r="N98" s="116"/>
      <c r="O98" s="116"/>
      <c r="P98" s="116"/>
      <c r="Q98" s="116"/>
      <c r="R98" s="116"/>
      <c r="S98" s="116"/>
      <c r="T98" s="116"/>
      <c r="U98" s="116"/>
      <c r="V98" s="116"/>
      <c r="W98" s="116"/>
      <c r="X98" s="116"/>
      <c r="Y98" s="116"/>
      <c r="Z98" s="116"/>
    </row>
    <row r="99" spans="1:26" ht="15.6" outlineLevel="1" x14ac:dyDescent="0.3">
      <c r="A99" s="116"/>
      <c r="B99" s="116"/>
      <c r="C99" s="126"/>
      <c r="D99" s="129"/>
      <c r="E99" s="129"/>
      <c r="F99" s="129"/>
      <c r="G99" s="129"/>
      <c r="H99" s="129"/>
      <c r="I99" s="129"/>
      <c r="J99" s="129"/>
      <c r="K99" s="129"/>
      <c r="L99" s="129"/>
      <c r="M99" s="129"/>
      <c r="N99" s="116"/>
      <c r="O99" s="116"/>
      <c r="P99" s="116"/>
      <c r="Q99" s="116"/>
      <c r="R99" s="116"/>
      <c r="S99" s="116"/>
      <c r="T99" s="116"/>
      <c r="U99" s="116"/>
      <c r="V99" s="116"/>
      <c r="W99" s="116"/>
      <c r="X99" s="116"/>
      <c r="Y99" s="116"/>
      <c r="Z99" s="116"/>
    </row>
    <row r="100" spans="1:26" ht="15.6" outlineLevel="1" x14ac:dyDescent="0.3">
      <c r="A100" s="130" t="s">
        <v>166</v>
      </c>
      <c r="B100" s="116"/>
      <c r="C100" s="126"/>
      <c r="D100" s="129"/>
      <c r="E100" s="129"/>
      <c r="F100" s="129"/>
      <c r="G100" s="129"/>
      <c r="H100" s="129"/>
      <c r="I100" s="129"/>
      <c r="J100" s="129"/>
      <c r="K100" s="129"/>
      <c r="L100" s="129"/>
      <c r="M100" s="129"/>
      <c r="N100" s="116"/>
      <c r="O100" s="116"/>
      <c r="P100" s="116"/>
      <c r="Q100" s="116"/>
      <c r="R100" s="116"/>
      <c r="S100" s="116"/>
      <c r="T100" s="116"/>
      <c r="U100" s="116"/>
      <c r="V100" s="116"/>
      <c r="W100" s="116"/>
      <c r="X100" s="116"/>
      <c r="Y100" s="116"/>
      <c r="Z100" s="116"/>
    </row>
    <row r="101" spans="1:26" ht="15.6" outlineLevel="1" x14ac:dyDescent="0.3">
      <c r="A101" s="116" t="s">
        <v>167</v>
      </c>
      <c r="B101" s="116"/>
      <c r="C101" s="126"/>
      <c r="D101" s="129" t="s">
        <v>57</v>
      </c>
      <c r="E101" s="129">
        <f>D51</f>
        <v>91807</v>
      </c>
      <c r="F101" s="129">
        <f>E51</f>
        <v>109106</v>
      </c>
      <c r="G101" s="129">
        <f t="shared" ref="G101:H101" si="62">F51</f>
        <v>98959</v>
      </c>
      <c r="H101" s="129">
        <f t="shared" si="62"/>
        <v>95281</v>
      </c>
      <c r="I101" s="116">
        <f>H103</f>
        <v>89283</v>
      </c>
      <c r="J101" s="116">
        <f>I103</f>
        <v>89111.4</v>
      </c>
      <c r="K101" s="116">
        <f>J103</f>
        <v>88939.799999999988</v>
      </c>
      <c r="L101" s="116">
        <f t="shared" ref="L101:M101" si="63">K103</f>
        <v>88768.199999999983</v>
      </c>
      <c r="M101" s="116">
        <f t="shared" si="63"/>
        <v>88596.599999999977</v>
      </c>
      <c r="N101" s="116"/>
      <c r="O101" s="116"/>
      <c r="P101" s="116"/>
      <c r="Q101" s="116"/>
      <c r="R101" s="116"/>
      <c r="S101" s="116"/>
      <c r="T101" s="116"/>
      <c r="U101" s="116"/>
      <c r="V101" s="116"/>
      <c r="W101" s="116"/>
      <c r="X101" s="116"/>
      <c r="Y101" s="116"/>
      <c r="Z101" s="116"/>
    </row>
    <row r="102" spans="1:26" ht="15.6" outlineLevel="1" x14ac:dyDescent="0.3">
      <c r="A102" s="116" t="s">
        <v>168</v>
      </c>
      <c r="B102" s="116"/>
      <c r="C102" s="126"/>
      <c r="D102" s="116">
        <f>D19</f>
        <v>2499</v>
      </c>
      <c r="E102" s="116">
        <f>E19</f>
        <v>12665</v>
      </c>
      <c r="F102" s="116">
        <f t="shared" ref="F102:H102" si="64">F19</f>
        <v>-123</v>
      </c>
      <c r="G102" s="116">
        <f t="shared" si="64"/>
        <v>-9901</v>
      </c>
      <c r="H102" s="116">
        <f t="shared" si="64"/>
        <v>-5998</v>
      </c>
      <c r="I102" s="116">
        <f>I19</f>
        <v>-171.6</v>
      </c>
      <c r="J102" s="116">
        <f t="shared" ref="J102:M102" si="65">J19</f>
        <v>-171.6</v>
      </c>
      <c r="K102" s="116">
        <f t="shared" si="65"/>
        <v>-171.6</v>
      </c>
      <c r="L102" s="116">
        <f t="shared" si="65"/>
        <v>-171.6</v>
      </c>
      <c r="M102" s="116">
        <f t="shared" si="65"/>
        <v>-171.6</v>
      </c>
      <c r="N102" s="116"/>
      <c r="O102" s="116"/>
      <c r="P102" s="116"/>
      <c r="Q102" s="116"/>
      <c r="R102" s="116"/>
      <c r="S102" s="116"/>
      <c r="T102" s="116"/>
      <c r="U102" s="116"/>
      <c r="V102" s="116"/>
      <c r="W102" s="116"/>
      <c r="X102" s="116"/>
      <c r="Y102" s="116"/>
      <c r="Z102" s="116"/>
    </row>
    <row r="103" spans="1:26" ht="15.6" outlineLevel="1" x14ac:dyDescent="0.3">
      <c r="A103" s="131" t="s">
        <v>169</v>
      </c>
      <c r="B103" s="131"/>
      <c r="C103" s="155"/>
      <c r="D103" s="131">
        <f>SUM(D101,D102)</f>
        <v>2499</v>
      </c>
      <c r="E103" s="131">
        <f t="shared" ref="E103:G103" si="66">SUM(E101,E102)</f>
        <v>104472</v>
      </c>
      <c r="F103" s="131">
        <f>SUM(F101,F102)</f>
        <v>108983</v>
      </c>
      <c r="G103" s="131">
        <f t="shared" si="66"/>
        <v>89058</v>
      </c>
      <c r="H103" s="131">
        <f>SUM(H101,H102)</f>
        <v>89283</v>
      </c>
      <c r="I103" s="131">
        <f>SUM(I101,I102)</f>
        <v>89111.4</v>
      </c>
      <c r="J103" s="131">
        <f t="shared" ref="J103:M103" si="67">SUM(J101,J102)</f>
        <v>88939.799999999988</v>
      </c>
      <c r="K103" s="131">
        <f t="shared" si="67"/>
        <v>88768.199999999983</v>
      </c>
      <c r="L103" s="131">
        <f t="shared" si="67"/>
        <v>88596.599999999977</v>
      </c>
      <c r="M103" s="131">
        <f t="shared" si="67"/>
        <v>88424.999999999971</v>
      </c>
      <c r="N103" s="116"/>
      <c r="O103" s="116"/>
      <c r="P103" s="116"/>
      <c r="Q103" s="116"/>
      <c r="R103" s="116"/>
      <c r="S103" s="116"/>
      <c r="T103" s="116"/>
      <c r="U103" s="116"/>
      <c r="V103" s="116"/>
      <c r="W103" s="116"/>
      <c r="X103" s="116"/>
      <c r="Y103" s="116"/>
      <c r="Z103" s="116"/>
    </row>
    <row r="104" spans="1:26" ht="15.6" outlineLevel="1" x14ac:dyDescent="0.3">
      <c r="A104" s="116" t="s">
        <v>170</v>
      </c>
      <c r="B104" s="116"/>
      <c r="D104" s="116" t="s">
        <v>57</v>
      </c>
      <c r="E104" s="116" t="s">
        <v>57</v>
      </c>
      <c r="F104" s="116" t="s">
        <v>57</v>
      </c>
      <c r="G104" s="116" t="s">
        <v>57</v>
      </c>
      <c r="H104" s="116" t="s">
        <v>57</v>
      </c>
      <c r="I104" s="116"/>
      <c r="J104" s="116"/>
      <c r="K104" s="116"/>
      <c r="L104" s="116"/>
      <c r="M104" s="116"/>
      <c r="N104" s="116"/>
      <c r="O104" s="116"/>
      <c r="P104" s="116"/>
      <c r="Q104" s="116"/>
      <c r="R104" s="116"/>
      <c r="S104" s="116"/>
      <c r="T104" s="116"/>
      <c r="U104" s="116"/>
      <c r="V104" s="116"/>
      <c r="W104" s="116"/>
      <c r="X104" s="116"/>
      <c r="Y104" s="116"/>
      <c r="Z104" s="116"/>
    </row>
    <row r="105" spans="1:26" ht="15.6" outlineLevel="1" x14ac:dyDescent="0.3">
      <c r="A105" s="116"/>
      <c r="B105" s="116"/>
      <c r="C105" s="126"/>
      <c r="D105" s="129"/>
      <c r="E105" s="129" t="s">
        <v>86</v>
      </c>
      <c r="F105" s="129"/>
      <c r="G105" s="129"/>
      <c r="H105" s="129"/>
      <c r="I105" s="116"/>
      <c r="J105" s="116"/>
      <c r="K105" s="116"/>
      <c r="L105" s="116"/>
      <c r="M105" s="116"/>
      <c r="N105" s="116"/>
      <c r="O105" s="116"/>
      <c r="P105" s="116"/>
      <c r="Q105" s="116"/>
      <c r="R105" s="116"/>
      <c r="S105" s="116"/>
      <c r="T105" s="116"/>
      <c r="U105" s="116"/>
      <c r="V105" s="116"/>
      <c r="W105" s="116"/>
      <c r="X105" s="116"/>
      <c r="Y105" s="116"/>
      <c r="Z105" s="116"/>
    </row>
    <row r="106" spans="1:26" ht="15.6" outlineLevel="1" x14ac:dyDescent="0.3">
      <c r="A106" s="116"/>
      <c r="B106" s="116"/>
      <c r="C106" s="126"/>
      <c r="D106" s="129"/>
      <c r="E106" s="144"/>
      <c r="F106" s="129"/>
      <c r="G106" s="129"/>
      <c r="H106" s="129"/>
      <c r="I106" s="116"/>
      <c r="J106" s="116"/>
      <c r="K106" s="116"/>
      <c r="L106" s="116"/>
      <c r="M106" s="116"/>
      <c r="N106" s="116"/>
      <c r="O106" s="116"/>
      <c r="P106" s="116"/>
      <c r="Q106" s="116"/>
      <c r="R106" s="116"/>
      <c r="S106" s="116"/>
      <c r="T106" s="116"/>
      <c r="U106" s="116"/>
      <c r="V106" s="116"/>
      <c r="W106" s="116"/>
      <c r="X106" s="116"/>
      <c r="Y106" s="116"/>
      <c r="Z106" s="116"/>
    </row>
    <row r="107" spans="1:26" ht="15.6" x14ac:dyDescent="0.3">
      <c r="A107" s="116"/>
      <c r="B107" s="116"/>
      <c r="C107" s="126"/>
      <c r="D107" s="129"/>
      <c r="E107" s="129"/>
      <c r="F107" s="129"/>
      <c r="G107" s="129"/>
      <c r="H107" s="129"/>
      <c r="I107" s="116"/>
      <c r="J107" s="116"/>
      <c r="K107" s="116"/>
      <c r="L107" s="116"/>
      <c r="M107" s="116"/>
      <c r="N107" s="116"/>
      <c r="O107" s="116"/>
      <c r="P107" s="116"/>
      <c r="Q107" s="116"/>
      <c r="R107" s="116"/>
      <c r="S107" s="116"/>
      <c r="T107" s="116"/>
      <c r="U107" s="116"/>
      <c r="V107" s="116"/>
      <c r="W107" s="116"/>
      <c r="X107" s="116"/>
      <c r="Y107" s="116"/>
      <c r="Z107" s="116"/>
    </row>
    <row r="108" spans="1:26" ht="18" x14ac:dyDescent="0.3">
      <c r="A108" s="156" t="s">
        <v>171</v>
      </c>
      <c r="B108" s="156"/>
      <c r="C108" s="156"/>
      <c r="D108" s="156"/>
      <c r="E108" s="156"/>
      <c r="F108" s="156"/>
      <c r="G108" s="156"/>
      <c r="H108" s="156"/>
      <c r="I108" s="156"/>
      <c r="J108" s="156"/>
      <c r="K108" s="156"/>
      <c r="L108" s="156"/>
      <c r="M108" s="156"/>
      <c r="N108" s="116"/>
      <c r="O108" s="116"/>
      <c r="P108" s="116"/>
      <c r="Q108" s="116"/>
      <c r="R108" s="116"/>
      <c r="S108" s="116"/>
      <c r="T108" s="116"/>
      <c r="U108" s="116"/>
      <c r="V108" s="116"/>
      <c r="W108" s="116"/>
      <c r="X108" s="116"/>
      <c r="Y108" s="116"/>
      <c r="Z108" s="116"/>
    </row>
    <row r="109" spans="1:26" ht="15.6" outlineLevel="1" x14ac:dyDescent="0.3">
      <c r="A109" s="116"/>
      <c r="B109" s="116"/>
      <c r="C109" s="12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5.6" outlineLevel="1" x14ac:dyDescent="0.3">
      <c r="A110" s="116" t="s">
        <v>83</v>
      </c>
      <c r="B110" s="116"/>
      <c r="C110" s="126"/>
      <c r="D110" s="116">
        <f>D26</f>
        <v>274515</v>
      </c>
      <c r="E110" s="116">
        <f t="shared" ref="E110:M110" si="68">E26</f>
        <v>365817</v>
      </c>
      <c r="F110" s="116">
        <f t="shared" si="68"/>
        <v>394328</v>
      </c>
      <c r="G110" s="116">
        <f t="shared" si="68"/>
        <v>383285</v>
      </c>
      <c r="H110" s="116">
        <f t="shared" si="68"/>
        <v>391035</v>
      </c>
      <c r="I110" s="116">
        <f t="shared" si="68"/>
        <v>430407.04903881822</v>
      </c>
      <c r="J110" s="116">
        <f t="shared" si="68"/>
        <v>473743.34231540316</v>
      </c>
      <c r="K110" s="116">
        <f t="shared" si="68"/>
        <v>521443.02675658028</v>
      </c>
      <c r="L110" s="116">
        <f t="shared" si="68"/>
        <v>573945.43810188153</v>
      </c>
      <c r="M110" s="116">
        <f t="shared" si="68"/>
        <v>631734.14738507429</v>
      </c>
      <c r="N110" s="116"/>
      <c r="O110" s="116"/>
      <c r="P110" s="116"/>
      <c r="Q110" s="116"/>
      <c r="R110" s="116"/>
      <c r="S110" s="116"/>
      <c r="T110" s="116"/>
      <c r="U110" s="116"/>
      <c r="V110" s="116"/>
      <c r="W110" s="116"/>
      <c r="X110" s="116"/>
      <c r="Y110" s="116"/>
      <c r="Z110" s="116"/>
    </row>
    <row r="111" spans="1:26" ht="15.6" outlineLevel="1" x14ac:dyDescent="0.3">
      <c r="A111" s="116" t="s">
        <v>172</v>
      </c>
      <c r="B111" s="116"/>
      <c r="C111" s="126"/>
      <c r="D111" s="157">
        <f>D28/D110</f>
        <v>0.38233247727810865</v>
      </c>
      <c r="E111" s="157">
        <f t="shared" ref="E111:M111" si="69">E28/E110</f>
        <v>0.41779359625167778</v>
      </c>
      <c r="F111" s="157">
        <f t="shared" si="69"/>
        <v>0.43309630561360085</v>
      </c>
      <c r="G111" s="157">
        <f t="shared" si="69"/>
        <v>0.44131129577207562</v>
      </c>
      <c r="H111" s="157">
        <f t="shared" si="69"/>
        <v>0.46206349815233932</v>
      </c>
      <c r="I111" s="157">
        <f t="shared" si="69"/>
        <v>0.42731943461356037</v>
      </c>
      <c r="J111" s="157">
        <f t="shared" si="69"/>
        <v>0.42731943461356037</v>
      </c>
      <c r="K111" s="157">
        <f t="shared" si="69"/>
        <v>0.42731943461356031</v>
      </c>
      <c r="L111" s="157">
        <f t="shared" si="69"/>
        <v>0.42731943461356037</v>
      </c>
      <c r="M111" s="157">
        <f t="shared" si="69"/>
        <v>0.42731943461356031</v>
      </c>
      <c r="N111" s="116"/>
      <c r="O111" s="116"/>
      <c r="P111" s="116"/>
      <c r="Q111" s="116"/>
      <c r="R111" s="116"/>
      <c r="S111" s="116"/>
      <c r="T111" s="116"/>
      <c r="U111" s="116"/>
      <c r="V111" s="116"/>
      <c r="W111" s="116"/>
      <c r="X111" s="116"/>
      <c r="Y111" s="116"/>
      <c r="Z111" s="116"/>
    </row>
    <row r="112" spans="1:26" ht="15.6" outlineLevel="1" x14ac:dyDescent="0.3">
      <c r="A112" s="116"/>
      <c r="B112" s="116"/>
      <c r="C112" s="12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5.6" outlineLevel="1" x14ac:dyDescent="0.3">
      <c r="A113" s="116" t="s">
        <v>143</v>
      </c>
      <c r="B113" s="116"/>
      <c r="C113" s="126"/>
      <c r="D113" s="116">
        <f>D68</f>
        <v>79319</v>
      </c>
      <c r="E113" s="116">
        <f t="shared" ref="E113:M113" si="70">E68</f>
        <v>80871</v>
      </c>
      <c r="F113" s="116">
        <f t="shared" si="70"/>
        <v>101120</v>
      </c>
      <c r="G113" s="116">
        <f t="shared" si="70"/>
        <v>107097</v>
      </c>
      <c r="H113" s="116">
        <f t="shared" si="70"/>
        <v>94327</v>
      </c>
      <c r="I113" s="116">
        <f t="shared" si="70"/>
        <v>129621.90747395519</v>
      </c>
      <c r="J113" s="116">
        <f t="shared" si="70"/>
        <v>121443.98166154581</v>
      </c>
      <c r="K113" s="116">
        <f t="shared" si="70"/>
        <v>131978.18541956312</v>
      </c>
      <c r="L113" s="116">
        <f t="shared" si="70"/>
        <v>143763.15848959188</v>
      </c>
      <c r="M113" s="116">
        <f t="shared" si="70"/>
        <v>156872.9540259825</v>
      </c>
      <c r="N113" s="116"/>
      <c r="O113" s="116"/>
      <c r="P113" s="116"/>
      <c r="Q113" s="116"/>
      <c r="R113" s="116"/>
      <c r="S113" s="116"/>
      <c r="T113" s="116"/>
      <c r="U113" s="116"/>
      <c r="V113" s="116"/>
      <c r="W113" s="116"/>
      <c r="X113" s="116"/>
      <c r="Y113" s="116"/>
      <c r="Z113" s="116"/>
    </row>
    <row r="114" spans="1:26" ht="15.6" outlineLevel="1" x14ac:dyDescent="0.3">
      <c r="A114" s="116" t="s">
        <v>147</v>
      </c>
      <c r="B114" s="116"/>
      <c r="C114" s="126"/>
      <c r="D114" s="116">
        <f>D72</f>
        <v>-7309</v>
      </c>
      <c r="E114" s="116">
        <f t="shared" ref="E114:M114" si="71">E72</f>
        <v>-11085</v>
      </c>
      <c r="F114" s="116">
        <f t="shared" si="71"/>
        <v>-10708</v>
      </c>
      <c r="G114" s="116">
        <f t="shared" si="71"/>
        <v>-10959</v>
      </c>
      <c r="H114" s="116">
        <f t="shared" si="71"/>
        <v>-9447</v>
      </c>
      <c r="I114" s="116">
        <f t="shared" si="71"/>
        <v>-9901.6</v>
      </c>
      <c r="J114" s="116">
        <f t="shared" si="71"/>
        <v>-9901.6</v>
      </c>
      <c r="K114" s="116">
        <f t="shared" si="71"/>
        <v>-9901.6</v>
      </c>
      <c r="L114" s="116">
        <f t="shared" si="71"/>
        <v>-9901.6</v>
      </c>
      <c r="M114" s="116">
        <f t="shared" si="71"/>
        <v>-9901.6</v>
      </c>
      <c r="N114" s="116"/>
      <c r="O114" s="116"/>
      <c r="P114" s="116"/>
      <c r="Q114" s="116"/>
      <c r="R114" s="116"/>
      <c r="S114" s="116"/>
      <c r="T114" s="116"/>
      <c r="U114" s="116"/>
      <c r="V114" s="116"/>
      <c r="W114" s="116"/>
      <c r="X114" s="116"/>
      <c r="Y114" s="116"/>
      <c r="Z114" s="116"/>
    </row>
    <row r="115" spans="1:26" ht="15.6" outlineLevel="1" x14ac:dyDescent="0.3">
      <c r="A115" s="116" t="s">
        <v>150</v>
      </c>
      <c r="B115" s="116"/>
      <c r="C115" s="126"/>
      <c r="D115" s="116">
        <f>D77</f>
        <v>-69859</v>
      </c>
      <c r="E115" s="116">
        <f t="shared" ref="E115:M115" si="72">E77</f>
        <v>-73306</v>
      </c>
      <c r="F115" s="116" t="str">
        <f t="shared" si="72"/>
        <v xml:space="preserve"> </v>
      </c>
      <c r="G115" s="116">
        <f t="shared" si="72"/>
        <v>-87451</v>
      </c>
      <c r="H115" s="116">
        <f t="shared" si="72"/>
        <v>-100947</v>
      </c>
      <c r="I115" s="116">
        <f t="shared" si="72"/>
        <v>-84217.600000000006</v>
      </c>
      <c r="J115" s="116">
        <f t="shared" si="72"/>
        <v>-84217.600000000006</v>
      </c>
      <c r="K115" s="116">
        <f t="shared" si="72"/>
        <v>-84217.600000000006</v>
      </c>
      <c r="L115" s="116">
        <f t="shared" si="72"/>
        <v>-84217.600000000006</v>
      </c>
      <c r="M115" s="116">
        <f t="shared" si="72"/>
        <v>-84217.600000000006</v>
      </c>
      <c r="N115" s="116"/>
      <c r="O115" s="116"/>
      <c r="P115" s="116"/>
      <c r="Q115" s="116"/>
      <c r="R115" s="116"/>
      <c r="S115" s="116"/>
      <c r="T115" s="116"/>
      <c r="U115" s="116"/>
      <c r="V115" s="116"/>
      <c r="W115" s="116"/>
      <c r="X115" s="116"/>
      <c r="Y115" s="116"/>
      <c r="Z115" s="116"/>
    </row>
    <row r="116" spans="1:26" ht="15.6" outlineLevel="1" x14ac:dyDescent="0.3">
      <c r="A116" s="116"/>
      <c r="B116" s="116"/>
      <c r="C116" s="12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5.6" outlineLevel="1" x14ac:dyDescent="0.3">
      <c r="A117" s="116"/>
      <c r="B117" s="116"/>
      <c r="C117" s="12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5.6" outlineLevel="1" x14ac:dyDescent="0.3">
      <c r="A118" s="116"/>
      <c r="B118" s="116"/>
      <c r="C118" s="12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5.6" outlineLevel="1" x14ac:dyDescent="0.3">
      <c r="A119" s="116"/>
      <c r="B119" s="116"/>
      <c r="C119" s="12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5.6" outlineLevel="1" x14ac:dyDescent="0.3">
      <c r="A120" s="116"/>
      <c r="B120" s="116"/>
      <c r="C120" s="12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5.6" outlineLevel="1" x14ac:dyDescent="0.3">
      <c r="A121" s="116"/>
      <c r="B121" s="116"/>
      <c r="C121" s="12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5.6" outlineLevel="1" x14ac:dyDescent="0.3">
      <c r="A122" s="116"/>
      <c r="B122" s="116"/>
      <c r="C122" s="12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5.6" outlineLevel="1" x14ac:dyDescent="0.3">
      <c r="A123" s="116"/>
      <c r="B123" s="116"/>
      <c r="C123" s="12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5.6" outlineLevel="1" x14ac:dyDescent="0.3">
      <c r="A124" s="116"/>
      <c r="B124" s="116"/>
      <c r="C124" s="12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5.6" outlineLevel="1" x14ac:dyDescent="0.3">
      <c r="A125" s="116"/>
      <c r="B125" s="116"/>
      <c r="C125" s="12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5.6" outlineLevel="1" x14ac:dyDescent="0.3">
      <c r="A126" s="116"/>
      <c r="B126" s="116"/>
      <c r="C126" s="12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5.6" outlineLevel="1" x14ac:dyDescent="0.3">
      <c r="A127" s="116"/>
      <c r="B127" s="116"/>
      <c r="C127" s="12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5.6" outlineLevel="1" x14ac:dyDescent="0.3">
      <c r="A128" s="116"/>
      <c r="B128" s="116"/>
      <c r="C128" s="12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5.6" outlineLevel="1" x14ac:dyDescent="0.3">
      <c r="A129" s="116"/>
      <c r="B129" s="116"/>
      <c r="C129" s="12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5.6" outlineLevel="1" x14ac:dyDescent="0.3">
      <c r="A130" s="116"/>
      <c r="B130" s="116"/>
      <c r="C130" s="12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5.6" outlineLevel="1" x14ac:dyDescent="0.3">
      <c r="A131" s="116"/>
      <c r="B131" s="116"/>
      <c r="C131" s="12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5.6" outlineLevel="1" x14ac:dyDescent="0.3">
      <c r="A132" s="116"/>
      <c r="B132" s="116"/>
      <c r="C132" s="12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5.6" x14ac:dyDescent="0.3">
      <c r="A133" s="116"/>
      <c r="B133" s="116"/>
      <c r="C133" s="12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5.6" x14ac:dyDescent="0.3">
      <c r="A134" s="130"/>
      <c r="B134" s="116"/>
      <c r="C134" s="12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5.6" x14ac:dyDescent="0.3">
      <c r="A135" s="158"/>
      <c r="B135" s="159"/>
      <c r="C135" s="159"/>
      <c r="D135" s="159"/>
      <c r="E135" s="159"/>
      <c r="F135" s="159"/>
      <c r="G135" s="159"/>
      <c r="H135" s="159"/>
      <c r="I135" s="159"/>
      <c r="J135" s="159"/>
      <c r="K135" s="159"/>
      <c r="L135" s="159"/>
      <c r="M135" s="159"/>
      <c r="N135" s="116"/>
      <c r="O135" s="116"/>
      <c r="P135" s="116"/>
      <c r="Q135" s="116"/>
      <c r="R135" s="116"/>
      <c r="S135" s="116"/>
      <c r="T135" s="116"/>
      <c r="U135" s="116"/>
      <c r="V135" s="116"/>
      <c r="W135" s="116"/>
      <c r="X135" s="116"/>
      <c r="Y135" s="116"/>
      <c r="Z135" s="116"/>
    </row>
    <row r="136" spans="1:26" ht="15.6" x14ac:dyDescent="0.3">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5.6" x14ac:dyDescent="0.3">
      <c r="A137" s="116"/>
      <c r="B137" s="116"/>
      <c r="C137" s="12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5.6" x14ac:dyDescent="0.3">
      <c r="A138" s="116"/>
      <c r="B138" s="116"/>
      <c r="C138" s="12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5.6" x14ac:dyDescent="0.3">
      <c r="A139" s="116"/>
      <c r="B139" s="116"/>
      <c r="C139" s="12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5.6" x14ac:dyDescent="0.3">
      <c r="A140" s="116"/>
      <c r="B140" s="116"/>
      <c r="C140" s="12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5.6" x14ac:dyDescent="0.3">
      <c r="A141" s="116"/>
      <c r="B141" s="116"/>
      <c r="C141" s="12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5.6" x14ac:dyDescent="0.3">
      <c r="A142" s="116"/>
      <c r="B142" s="116"/>
      <c r="C142" s="12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5.6" x14ac:dyDescent="0.3">
      <c r="A143" s="116"/>
      <c r="B143" s="116"/>
      <c r="C143" s="12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5.6" x14ac:dyDescent="0.3">
      <c r="A144" s="116"/>
      <c r="B144" s="116"/>
      <c r="C144" s="12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5.6" x14ac:dyDescent="0.3">
      <c r="A145" s="116"/>
      <c r="B145" s="116"/>
      <c r="C145" s="12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5.6" x14ac:dyDescent="0.3">
      <c r="A146" s="116"/>
      <c r="B146" s="116"/>
      <c r="C146" s="12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5.6" x14ac:dyDescent="0.3">
      <c r="A147" s="116"/>
      <c r="B147" s="116"/>
      <c r="C147" s="12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5.6" x14ac:dyDescent="0.3">
      <c r="A148" s="116"/>
      <c r="B148" s="116"/>
      <c r="C148" s="12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5.6" x14ac:dyDescent="0.3">
      <c r="A149" s="116"/>
      <c r="B149" s="116"/>
      <c r="C149" s="12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5.6" x14ac:dyDescent="0.3">
      <c r="A150" s="116"/>
      <c r="B150" s="116"/>
      <c r="C150" s="12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5.6" x14ac:dyDescent="0.3">
      <c r="A151" s="116"/>
      <c r="B151" s="116"/>
      <c r="C151" s="12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5.6" x14ac:dyDescent="0.3">
      <c r="A152" s="116"/>
      <c r="B152" s="116"/>
      <c r="C152" s="12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5.6" x14ac:dyDescent="0.3">
      <c r="A153" s="116"/>
      <c r="B153" s="116"/>
      <c r="C153" s="12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5.6" x14ac:dyDescent="0.3">
      <c r="A154" s="116"/>
      <c r="B154" s="116"/>
      <c r="C154" s="12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5.6" x14ac:dyDescent="0.3">
      <c r="A155" s="116"/>
      <c r="B155" s="116"/>
      <c r="C155" s="12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5.6" x14ac:dyDescent="0.3">
      <c r="A156" s="116"/>
      <c r="B156" s="116"/>
      <c r="C156" s="12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5.6" x14ac:dyDescent="0.3">
      <c r="A157" s="116"/>
      <c r="B157" s="116"/>
      <c r="C157" s="12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5.6" x14ac:dyDescent="0.3">
      <c r="A158" s="116"/>
      <c r="B158" s="116"/>
      <c r="C158" s="12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5.6" x14ac:dyDescent="0.3">
      <c r="A159" s="116"/>
      <c r="B159" s="116"/>
      <c r="C159" s="12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5.6" x14ac:dyDescent="0.3">
      <c r="A160" s="116"/>
      <c r="B160" s="116"/>
      <c r="C160" s="12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5.6" x14ac:dyDescent="0.3">
      <c r="A161" s="116"/>
      <c r="B161" s="116"/>
      <c r="C161" s="12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5.6" x14ac:dyDescent="0.3">
      <c r="A162" s="116"/>
      <c r="B162" s="116"/>
      <c r="C162" s="12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5.6" x14ac:dyDescent="0.3">
      <c r="A163" s="116"/>
      <c r="B163" s="116"/>
      <c r="C163" s="12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5.6" x14ac:dyDescent="0.3">
      <c r="A164" s="116"/>
      <c r="B164" s="116"/>
      <c r="C164" s="12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5.6" x14ac:dyDescent="0.3">
      <c r="A165" s="116"/>
      <c r="B165" s="116"/>
      <c r="C165" s="12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5.6" x14ac:dyDescent="0.3">
      <c r="A166" s="116"/>
      <c r="B166" s="116"/>
      <c r="C166" s="12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5.6" x14ac:dyDescent="0.3">
      <c r="A167" s="116"/>
      <c r="B167" s="116"/>
      <c r="C167" s="12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5.6" x14ac:dyDescent="0.3">
      <c r="A168" s="116"/>
      <c r="B168" s="116"/>
      <c r="C168" s="12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5.6" x14ac:dyDescent="0.3">
      <c r="A169" s="116"/>
      <c r="B169" s="116"/>
      <c r="C169" s="12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5.6" x14ac:dyDescent="0.3">
      <c r="A170" s="116"/>
      <c r="B170" s="116"/>
      <c r="C170" s="12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5.6" x14ac:dyDescent="0.3">
      <c r="A171" s="116"/>
      <c r="B171" s="116"/>
      <c r="C171" s="12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5.6" x14ac:dyDescent="0.3">
      <c r="A172" s="116"/>
      <c r="B172" s="116"/>
      <c r="C172" s="12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5.6" x14ac:dyDescent="0.3">
      <c r="A173" s="116"/>
      <c r="B173" s="116"/>
      <c r="C173" s="12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5.6" x14ac:dyDescent="0.3">
      <c r="A174" s="116"/>
      <c r="B174" s="116"/>
      <c r="C174" s="12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5.6" x14ac:dyDescent="0.3">
      <c r="A175" s="116"/>
      <c r="B175" s="116"/>
      <c r="C175" s="12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5.6" x14ac:dyDescent="0.3">
      <c r="A176" s="116"/>
      <c r="B176" s="116"/>
      <c r="C176" s="12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5.6" x14ac:dyDescent="0.3">
      <c r="A177" s="116"/>
      <c r="B177" s="116"/>
      <c r="C177" s="12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5.6" x14ac:dyDescent="0.3">
      <c r="A178" s="116"/>
      <c r="B178" s="116"/>
      <c r="C178" s="12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5.6" x14ac:dyDescent="0.3">
      <c r="A179" s="116"/>
      <c r="B179" s="116"/>
      <c r="C179" s="12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5.6" x14ac:dyDescent="0.3">
      <c r="A180" s="116"/>
      <c r="B180" s="116"/>
      <c r="C180" s="12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5.6" x14ac:dyDescent="0.3">
      <c r="A181" s="116"/>
      <c r="B181" s="116"/>
      <c r="C181" s="12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5.6" x14ac:dyDescent="0.3">
      <c r="A182" s="116"/>
      <c r="B182" s="116"/>
      <c r="C182" s="12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5.6" x14ac:dyDescent="0.3">
      <c r="A183" s="116"/>
      <c r="B183" s="116"/>
      <c r="C183" s="12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5.6" x14ac:dyDescent="0.3">
      <c r="A184" s="116"/>
      <c r="B184" s="116"/>
      <c r="C184" s="12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5.6" x14ac:dyDescent="0.3">
      <c r="A185" s="116"/>
      <c r="B185" s="116"/>
      <c r="C185" s="12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5.6" x14ac:dyDescent="0.3">
      <c r="A186" s="116"/>
      <c r="B186" s="116"/>
      <c r="C186" s="12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5.6" x14ac:dyDescent="0.3">
      <c r="A187" s="116"/>
      <c r="B187" s="116"/>
      <c r="C187" s="12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5.6" x14ac:dyDescent="0.3">
      <c r="A188" s="116"/>
      <c r="B188" s="116"/>
      <c r="C188" s="12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5.6" x14ac:dyDescent="0.3">
      <c r="A189" s="116"/>
      <c r="B189" s="116"/>
      <c r="C189" s="12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5.6" x14ac:dyDescent="0.3">
      <c r="A190" s="116"/>
      <c r="B190" s="116"/>
      <c r="C190" s="12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5.6" x14ac:dyDescent="0.3">
      <c r="A191" s="116"/>
      <c r="B191" s="116"/>
      <c r="C191" s="12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5.6" x14ac:dyDescent="0.3">
      <c r="A192" s="116"/>
      <c r="B192" s="116"/>
      <c r="C192" s="12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5.6" x14ac:dyDescent="0.3">
      <c r="A193" s="116"/>
      <c r="B193" s="116"/>
      <c r="C193" s="12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5.6" x14ac:dyDescent="0.3">
      <c r="A194" s="116"/>
      <c r="B194" s="116"/>
      <c r="C194" s="12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5.6" x14ac:dyDescent="0.3">
      <c r="A195" s="116"/>
      <c r="B195" s="116"/>
      <c r="C195" s="12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5.6" x14ac:dyDescent="0.3">
      <c r="A196" s="116"/>
      <c r="B196" s="116"/>
      <c r="C196" s="12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5.6" x14ac:dyDescent="0.3">
      <c r="A197" s="116"/>
      <c r="B197" s="116"/>
      <c r="C197" s="12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5.6" x14ac:dyDescent="0.3">
      <c r="A198" s="116"/>
      <c r="B198" s="116"/>
      <c r="C198" s="12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5.6" x14ac:dyDescent="0.3">
      <c r="A199" s="116"/>
      <c r="B199" s="116"/>
      <c r="C199" s="12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5.6" x14ac:dyDescent="0.3">
      <c r="A200" s="116"/>
      <c r="B200" s="116"/>
      <c r="C200" s="12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5.6" x14ac:dyDescent="0.3">
      <c r="A201" s="116"/>
      <c r="B201" s="116"/>
      <c r="C201" s="12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5.6" x14ac:dyDescent="0.3">
      <c r="A202" s="116"/>
      <c r="B202" s="116"/>
      <c r="C202" s="12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5.6" x14ac:dyDescent="0.3">
      <c r="A203" s="116"/>
      <c r="B203" s="116"/>
      <c r="C203" s="12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5.6" x14ac:dyDescent="0.3">
      <c r="A204" s="116"/>
      <c r="B204" s="116"/>
      <c r="C204" s="12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5.6" x14ac:dyDescent="0.3">
      <c r="A205" s="116"/>
      <c r="B205" s="116"/>
      <c r="C205" s="12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5.6" x14ac:dyDescent="0.3">
      <c r="A206" s="116"/>
      <c r="B206" s="116"/>
      <c r="C206" s="12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5.6" x14ac:dyDescent="0.3">
      <c r="A207" s="116"/>
      <c r="B207" s="116"/>
      <c r="C207" s="12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5.6" x14ac:dyDescent="0.3">
      <c r="A208" s="116"/>
      <c r="B208" s="116"/>
      <c r="C208" s="12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5.6" x14ac:dyDescent="0.3">
      <c r="A209" s="116"/>
      <c r="B209" s="116"/>
      <c r="C209" s="12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5.6" x14ac:dyDescent="0.3">
      <c r="A210" s="116"/>
      <c r="B210" s="116"/>
      <c r="C210" s="12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5.6" x14ac:dyDescent="0.3">
      <c r="A211" s="116"/>
      <c r="B211" s="116"/>
      <c r="C211" s="12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5.6" x14ac:dyDescent="0.3">
      <c r="A212" s="116"/>
      <c r="B212" s="116"/>
      <c r="C212" s="12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5.6" x14ac:dyDescent="0.3">
      <c r="A213" s="116"/>
      <c r="B213" s="116"/>
      <c r="C213" s="12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5.6" x14ac:dyDescent="0.3">
      <c r="A214" s="116"/>
      <c r="B214" s="116"/>
      <c r="C214" s="12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5.6" x14ac:dyDescent="0.3">
      <c r="A215" s="116"/>
      <c r="B215" s="116"/>
      <c r="C215" s="12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5.6" x14ac:dyDescent="0.3">
      <c r="A216" s="116"/>
      <c r="B216" s="116"/>
      <c r="C216" s="12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5.6" x14ac:dyDescent="0.3">
      <c r="A217" s="116"/>
      <c r="B217" s="116"/>
      <c r="C217" s="12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5.6" x14ac:dyDescent="0.3">
      <c r="A218" s="116"/>
      <c r="B218" s="116"/>
      <c r="C218" s="12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5.6" x14ac:dyDescent="0.3">
      <c r="A219" s="116"/>
      <c r="B219" s="116"/>
      <c r="C219" s="12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5.6" x14ac:dyDescent="0.3">
      <c r="A220" s="116"/>
      <c r="B220" s="116"/>
      <c r="C220" s="12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5.6" x14ac:dyDescent="0.3">
      <c r="A221" s="116"/>
      <c r="B221" s="116"/>
      <c r="C221" s="12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5.6" x14ac:dyDescent="0.3">
      <c r="A222" s="116"/>
      <c r="B222" s="116"/>
      <c r="C222" s="12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5.6" x14ac:dyDescent="0.3">
      <c r="A223" s="116"/>
      <c r="B223" s="116"/>
      <c r="C223" s="12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5.6" x14ac:dyDescent="0.3">
      <c r="A224" s="116"/>
      <c r="B224" s="116"/>
      <c r="C224" s="12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5.6" x14ac:dyDescent="0.3">
      <c r="A225" s="116"/>
      <c r="B225" s="116"/>
      <c r="C225" s="12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5.6" x14ac:dyDescent="0.3">
      <c r="A226" s="116"/>
      <c r="B226" s="116"/>
      <c r="C226" s="12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5.6" x14ac:dyDescent="0.3">
      <c r="A227" s="116"/>
      <c r="B227" s="116"/>
      <c r="C227" s="12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5.6" x14ac:dyDescent="0.3">
      <c r="A228" s="116"/>
      <c r="B228" s="116"/>
      <c r="C228" s="12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5.6" x14ac:dyDescent="0.3">
      <c r="A229" s="116"/>
      <c r="B229" s="116"/>
      <c r="C229" s="12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5.6" x14ac:dyDescent="0.3">
      <c r="A230" s="116"/>
      <c r="B230" s="116"/>
      <c r="C230" s="12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5.6" x14ac:dyDescent="0.3">
      <c r="A231" s="116"/>
      <c r="B231" s="116"/>
      <c r="C231" s="12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5.6" x14ac:dyDescent="0.3">
      <c r="A232" s="116"/>
      <c r="B232" s="116"/>
      <c r="C232" s="12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5.6" x14ac:dyDescent="0.3">
      <c r="A233" s="116"/>
      <c r="B233" s="116"/>
      <c r="C233" s="12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5.6" x14ac:dyDescent="0.3">
      <c r="A234" s="116"/>
      <c r="B234" s="116"/>
      <c r="C234" s="12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5.6" x14ac:dyDescent="0.3">
      <c r="A235" s="116"/>
      <c r="B235" s="116"/>
      <c r="C235" s="12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5.6" x14ac:dyDescent="0.3">
      <c r="A236" s="116"/>
      <c r="B236" s="116"/>
      <c r="C236" s="12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5.6" x14ac:dyDescent="0.3">
      <c r="A237" s="116"/>
      <c r="B237" s="116"/>
      <c r="C237" s="12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5.6" x14ac:dyDescent="0.3">
      <c r="A238" s="116"/>
      <c r="B238" s="116"/>
      <c r="C238" s="12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5.6" x14ac:dyDescent="0.3">
      <c r="A239" s="116"/>
      <c r="B239" s="116"/>
      <c r="C239" s="12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5.6" x14ac:dyDescent="0.3">
      <c r="A240" s="116"/>
      <c r="B240" s="116"/>
      <c r="C240" s="12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5.6" x14ac:dyDescent="0.3">
      <c r="A241" s="116"/>
      <c r="B241" s="116"/>
      <c r="C241" s="12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5.6" x14ac:dyDescent="0.3">
      <c r="A242" s="116"/>
      <c r="B242" s="116"/>
      <c r="C242" s="12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5.6" x14ac:dyDescent="0.3">
      <c r="A243" s="116"/>
      <c r="B243" s="116"/>
      <c r="C243" s="12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5.6" x14ac:dyDescent="0.3">
      <c r="A244" s="116"/>
      <c r="B244" s="116"/>
      <c r="C244" s="12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5.6" x14ac:dyDescent="0.3">
      <c r="A245" s="116"/>
      <c r="B245" s="116"/>
      <c r="C245" s="12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5.6" x14ac:dyDescent="0.3">
      <c r="A246" s="116"/>
      <c r="B246" s="116"/>
      <c r="C246" s="12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5.6" x14ac:dyDescent="0.3">
      <c r="A247" s="116"/>
      <c r="B247" s="116"/>
      <c r="C247" s="12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5.6" x14ac:dyDescent="0.3">
      <c r="A248" s="116"/>
      <c r="B248" s="116"/>
      <c r="C248" s="12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5.6" x14ac:dyDescent="0.3">
      <c r="A249" s="116"/>
      <c r="B249" s="116"/>
      <c r="C249" s="12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5.6" x14ac:dyDescent="0.3">
      <c r="A250" s="116"/>
      <c r="B250" s="116"/>
      <c r="C250" s="12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5.6" x14ac:dyDescent="0.3">
      <c r="A251" s="116"/>
      <c r="B251" s="116"/>
      <c r="C251" s="12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5.6" x14ac:dyDescent="0.3">
      <c r="A252" s="116"/>
      <c r="B252" s="116"/>
      <c r="C252" s="12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5.6" x14ac:dyDescent="0.3">
      <c r="A253" s="116"/>
      <c r="B253" s="116"/>
      <c r="C253" s="12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5.6" x14ac:dyDescent="0.3">
      <c r="A254" s="116"/>
      <c r="B254" s="116"/>
      <c r="C254" s="12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5.6" x14ac:dyDescent="0.3">
      <c r="A255" s="116"/>
      <c r="B255" s="116"/>
      <c r="C255" s="12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5.6" x14ac:dyDescent="0.3">
      <c r="A256" s="116"/>
      <c r="B256" s="116"/>
      <c r="C256" s="12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5.6" x14ac:dyDescent="0.3">
      <c r="A257" s="116"/>
      <c r="B257" s="116"/>
      <c r="C257" s="12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5.6" x14ac:dyDescent="0.3">
      <c r="A258" s="116"/>
      <c r="B258" s="116"/>
      <c r="C258" s="12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5.6" x14ac:dyDescent="0.3">
      <c r="A259" s="116"/>
      <c r="B259" s="116"/>
      <c r="C259" s="12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5.6" x14ac:dyDescent="0.3">
      <c r="A260" s="116"/>
      <c r="B260" s="116"/>
      <c r="C260" s="12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5.6" x14ac:dyDescent="0.3">
      <c r="A261" s="116"/>
      <c r="B261" s="116"/>
      <c r="C261" s="12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5.6" x14ac:dyDescent="0.3">
      <c r="A262" s="116"/>
      <c r="B262" s="116"/>
      <c r="C262" s="12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5.6" x14ac:dyDescent="0.3">
      <c r="A263" s="116"/>
      <c r="B263" s="116"/>
      <c r="C263" s="12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5.6" x14ac:dyDescent="0.3">
      <c r="A264" s="116"/>
      <c r="B264" s="116"/>
      <c r="C264" s="12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5.6" x14ac:dyDescent="0.3">
      <c r="A265" s="116"/>
      <c r="B265" s="116"/>
      <c r="C265" s="12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5.6" x14ac:dyDescent="0.3">
      <c r="A266" s="116"/>
      <c r="B266" s="116"/>
      <c r="C266" s="12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5.6" x14ac:dyDescent="0.3">
      <c r="A267" s="116"/>
      <c r="B267" s="116"/>
      <c r="C267" s="12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5.6" x14ac:dyDescent="0.3">
      <c r="A268" s="116"/>
      <c r="B268" s="116"/>
      <c r="C268" s="12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5.6" x14ac:dyDescent="0.3">
      <c r="A269" s="116"/>
      <c r="B269" s="116"/>
      <c r="C269" s="12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5.6" x14ac:dyDescent="0.3">
      <c r="A270" s="116"/>
      <c r="B270" s="116"/>
      <c r="C270" s="12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5.6" x14ac:dyDescent="0.3">
      <c r="A271" s="116"/>
      <c r="B271" s="116"/>
      <c r="C271" s="12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5.6" x14ac:dyDescent="0.3">
      <c r="A272" s="116"/>
      <c r="B272" s="116"/>
      <c r="C272" s="12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5.6" x14ac:dyDescent="0.3">
      <c r="A273" s="116"/>
      <c r="B273" s="116"/>
      <c r="C273" s="12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5.6" x14ac:dyDescent="0.3">
      <c r="A274" s="116"/>
      <c r="B274" s="116"/>
      <c r="C274" s="12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5.6" x14ac:dyDescent="0.3">
      <c r="A275" s="116"/>
      <c r="B275" s="116"/>
      <c r="C275" s="12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5.6" x14ac:dyDescent="0.3">
      <c r="A276" s="116"/>
      <c r="B276" s="116"/>
      <c r="C276" s="12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5.6" x14ac:dyDescent="0.3">
      <c r="A277" s="116"/>
      <c r="B277" s="116"/>
      <c r="C277" s="12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5.6" x14ac:dyDescent="0.3">
      <c r="A278" s="116"/>
      <c r="B278" s="116"/>
      <c r="C278" s="12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5.6" x14ac:dyDescent="0.3">
      <c r="A279" s="116"/>
      <c r="B279" s="116"/>
      <c r="C279" s="12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5.6" x14ac:dyDescent="0.3">
      <c r="A280" s="116"/>
      <c r="B280" s="116"/>
      <c r="C280" s="12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5.6" x14ac:dyDescent="0.3">
      <c r="A281" s="116"/>
      <c r="B281" s="116"/>
      <c r="C281" s="12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5.6" x14ac:dyDescent="0.3">
      <c r="A282" s="116"/>
      <c r="B282" s="116"/>
      <c r="C282" s="12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5.6" x14ac:dyDescent="0.3">
      <c r="A283" s="116"/>
      <c r="B283" s="116"/>
      <c r="C283" s="12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5.6" x14ac:dyDescent="0.3">
      <c r="A284" s="116"/>
      <c r="B284" s="116"/>
      <c r="C284" s="12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5.6" x14ac:dyDescent="0.3">
      <c r="A285" s="116"/>
      <c r="B285" s="116"/>
      <c r="C285" s="12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5.6" x14ac:dyDescent="0.3">
      <c r="A286" s="116"/>
      <c r="B286" s="116"/>
      <c r="C286" s="12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5.6" x14ac:dyDescent="0.3">
      <c r="A287" s="116"/>
      <c r="B287" s="116"/>
      <c r="C287" s="12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5.6" x14ac:dyDescent="0.3">
      <c r="A288" s="116"/>
      <c r="B288" s="116"/>
      <c r="C288" s="12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5.6" x14ac:dyDescent="0.3">
      <c r="A289" s="116"/>
      <c r="B289" s="116"/>
      <c r="C289" s="12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5.6" x14ac:dyDescent="0.3">
      <c r="A290" s="116"/>
      <c r="B290" s="116"/>
      <c r="C290" s="12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5.6" x14ac:dyDescent="0.3">
      <c r="A291" s="116"/>
      <c r="B291" s="116"/>
      <c r="C291" s="12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5.6" x14ac:dyDescent="0.3">
      <c r="A292" s="116"/>
      <c r="B292" s="116"/>
      <c r="C292" s="12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5.6" x14ac:dyDescent="0.3">
      <c r="A293" s="116"/>
      <c r="B293" s="116"/>
      <c r="C293" s="12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5.6" x14ac:dyDescent="0.3">
      <c r="A294" s="116"/>
      <c r="B294" s="116"/>
      <c r="C294" s="12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5.6" x14ac:dyDescent="0.3">
      <c r="A295" s="116"/>
      <c r="B295" s="116"/>
      <c r="C295" s="12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5.6" x14ac:dyDescent="0.3">
      <c r="A296" s="116"/>
      <c r="B296" s="116"/>
      <c r="C296" s="12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5.6" x14ac:dyDescent="0.3">
      <c r="A297" s="116"/>
      <c r="B297" s="116"/>
      <c r="C297" s="12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5.6" x14ac:dyDescent="0.3">
      <c r="A298" s="116"/>
      <c r="B298" s="116"/>
      <c r="C298" s="12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5.6" x14ac:dyDescent="0.3">
      <c r="A299" s="116"/>
      <c r="B299" s="116"/>
      <c r="C299" s="12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5.6" x14ac:dyDescent="0.3">
      <c r="A300" s="116"/>
      <c r="B300" s="116"/>
      <c r="C300" s="12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5.6" x14ac:dyDescent="0.3">
      <c r="A301" s="116"/>
      <c r="B301" s="116"/>
      <c r="C301" s="12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5.6" x14ac:dyDescent="0.3">
      <c r="A302" s="116"/>
      <c r="B302" s="116"/>
      <c r="C302" s="12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5.6" x14ac:dyDescent="0.3">
      <c r="A303" s="116"/>
      <c r="B303" s="116"/>
      <c r="C303" s="12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5.6" x14ac:dyDescent="0.3">
      <c r="A304" s="116"/>
      <c r="B304" s="116"/>
      <c r="C304" s="12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5.6" x14ac:dyDescent="0.3">
      <c r="A305" s="116"/>
      <c r="B305" s="116"/>
      <c r="C305" s="12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5.6" x14ac:dyDescent="0.3">
      <c r="A306" s="116"/>
      <c r="B306" s="116"/>
      <c r="C306" s="12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5.6" x14ac:dyDescent="0.3">
      <c r="A307" s="116"/>
      <c r="B307" s="116"/>
      <c r="C307" s="12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5.6" x14ac:dyDescent="0.3">
      <c r="A308" s="116"/>
      <c r="B308" s="116"/>
      <c r="C308" s="12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5.6" x14ac:dyDescent="0.3">
      <c r="A309" s="116"/>
      <c r="B309" s="116"/>
      <c r="C309" s="12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5.6" x14ac:dyDescent="0.3">
      <c r="A310" s="116"/>
      <c r="B310" s="116"/>
      <c r="C310" s="12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5.6" x14ac:dyDescent="0.3">
      <c r="A311" s="116"/>
      <c r="B311" s="116"/>
      <c r="C311" s="12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5.6" x14ac:dyDescent="0.3">
      <c r="A312" s="116"/>
      <c r="B312" s="116"/>
      <c r="C312" s="12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5.6" x14ac:dyDescent="0.3">
      <c r="A313" s="116"/>
      <c r="B313" s="116"/>
      <c r="C313" s="12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5.6" x14ac:dyDescent="0.3">
      <c r="A314" s="116"/>
      <c r="B314" s="116"/>
      <c r="C314" s="12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5.6" x14ac:dyDescent="0.3">
      <c r="A315" s="116"/>
      <c r="B315" s="116"/>
      <c r="C315" s="12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5.6" x14ac:dyDescent="0.3">
      <c r="A316" s="116"/>
      <c r="B316" s="116"/>
      <c r="C316" s="12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5.6" x14ac:dyDescent="0.3">
      <c r="A317" s="116"/>
      <c r="B317" s="116"/>
      <c r="C317" s="12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5.6" x14ac:dyDescent="0.3">
      <c r="A318" s="116"/>
      <c r="B318" s="116"/>
      <c r="C318" s="12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5.6" x14ac:dyDescent="0.3">
      <c r="A319" s="116"/>
      <c r="B319" s="116"/>
      <c r="C319" s="12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5.6" x14ac:dyDescent="0.3">
      <c r="A320" s="116"/>
      <c r="B320" s="116"/>
      <c r="C320" s="12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5.6" x14ac:dyDescent="0.3">
      <c r="A321" s="116"/>
      <c r="B321" s="116"/>
      <c r="C321" s="12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5.6" x14ac:dyDescent="0.3">
      <c r="A322" s="116"/>
      <c r="B322" s="116"/>
      <c r="C322" s="12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5.6" x14ac:dyDescent="0.3">
      <c r="A323" s="116"/>
      <c r="B323" s="116"/>
      <c r="C323" s="12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5.6" x14ac:dyDescent="0.3">
      <c r="A324" s="116"/>
      <c r="B324" s="116"/>
      <c r="C324" s="12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5.6" x14ac:dyDescent="0.3">
      <c r="A325" s="116"/>
      <c r="B325" s="116"/>
      <c r="C325" s="12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5.6" x14ac:dyDescent="0.3">
      <c r="A326" s="116"/>
      <c r="B326" s="116"/>
      <c r="C326" s="12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5.6" x14ac:dyDescent="0.3">
      <c r="A327" s="116"/>
      <c r="B327" s="116"/>
      <c r="C327" s="12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5.6" x14ac:dyDescent="0.3">
      <c r="A328" s="116"/>
      <c r="B328" s="116"/>
      <c r="C328" s="12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5.6" x14ac:dyDescent="0.3">
      <c r="A329" s="116"/>
      <c r="B329" s="116"/>
      <c r="C329" s="12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5.6" x14ac:dyDescent="0.3">
      <c r="A330" s="116"/>
      <c r="B330" s="116"/>
      <c r="C330" s="12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5.6" x14ac:dyDescent="0.3">
      <c r="A331" s="116"/>
      <c r="B331" s="116"/>
      <c r="C331" s="12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5.6" x14ac:dyDescent="0.3">
      <c r="A332" s="116"/>
      <c r="B332" s="116"/>
      <c r="C332" s="12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5.6" x14ac:dyDescent="0.3">
      <c r="A333" s="116"/>
      <c r="B333" s="116"/>
      <c r="C333" s="12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5.6" x14ac:dyDescent="0.3">
      <c r="A334" s="116"/>
      <c r="B334" s="116"/>
      <c r="C334" s="12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5.6" x14ac:dyDescent="0.3">
      <c r="A335" s="116"/>
      <c r="B335" s="116"/>
      <c r="C335" s="12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5.6" x14ac:dyDescent="0.3">
      <c r="A336" s="116"/>
      <c r="B336" s="116"/>
      <c r="C336" s="12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5.6" x14ac:dyDescent="0.3">
      <c r="A337" s="116"/>
      <c r="B337" s="116"/>
      <c r="C337" s="12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5.6" x14ac:dyDescent="0.3">
      <c r="A338" s="116"/>
      <c r="B338" s="116"/>
      <c r="C338" s="12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5.6" x14ac:dyDescent="0.3">
      <c r="A339" s="116"/>
      <c r="B339" s="116"/>
      <c r="C339" s="12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5.6" x14ac:dyDescent="0.3">
      <c r="A340" s="116"/>
      <c r="B340" s="116"/>
      <c r="C340" s="12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5.6" x14ac:dyDescent="0.3">
      <c r="A341" s="116"/>
      <c r="B341" s="116"/>
      <c r="C341" s="12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5.6" x14ac:dyDescent="0.3">
      <c r="A342" s="116"/>
      <c r="B342" s="116"/>
      <c r="C342" s="12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5.6" x14ac:dyDescent="0.3">
      <c r="A343" s="116"/>
      <c r="B343" s="116"/>
      <c r="C343" s="12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5.6" x14ac:dyDescent="0.3">
      <c r="A344" s="116"/>
      <c r="B344" s="116"/>
      <c r="C344" s="12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5.6" x14ac:dyDescent="0.3">
      <c r="A345" s="116"/>
      <c r="B345" s="116"/>
      <c r="C345" s="12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5.6" x14ac:dyDescent="0.3">
      <c r="A346" s="116"/>
      <c r="B346" s="116"/>
      <c r="C346" s="12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5.6" x14ac:dyDescent="0.3">
      <c r="A347" s="116"/>
      <c r="B347" s="116"/>
      <c r="C347" s="12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5.6" x14ac:dyDescent="0.3">
      <c r="A348" s="116"/>
      <c r="B348" s="116"/>
      <c r="C348" s="12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5.6" x14ac:dyDescent="0.3">
      <c r="A349" s="116"/>
      <c r="B349" s="116"/>
      <c r="C349" s="12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5.6" x14ac:dyDescent="0.3">
      <c r="A350" s="116"/>
      <c r="B350" s="116"/>
      <c r="C350" s="12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5.6" x14ac:dyDescent="0.3">
      <c r="A351" s="116"/>
      <c r="B351" s="116"/>
      <c r="C351" s="12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5.6" x14ac:dyDescent="0.3">
      <c r="A352" s="116"/>
      <c r="B352" s="116"/>
      <c r="C352" s="12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5.6" x14ac:dyDescent="0.3">
      <c r="A353" s="116"/>
      <c r="B353" s="116"/>
      <c r="C353" s="12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5.6" x14ac:dyDescent="0.3">
      <c r="A354" s="116"/>
      <c r="B354" s="116"/>
      <c r="C354" s="12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5.6" x14ac:dyDescent="0.3">
      <c r="A355" s="116"/>
      <c r="B355" s="116"/>
      <c r="C355" s="12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5.6" x14ac:dyDescent="0.3">
      <c r="A356" s="116"/>
      <c r="B356" s="116"/>
      <c r="C356" s="12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5.6" x14ac:dyDescent="0.3">
      <c r="A357" s="116"/>
      <c r="B357" s="116"/>
      <c r="C357" s="12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5.6" x14ac:dyDescent="0.3">
      <c r="A358" s="116"/>
      <c r="B358" s="116"/>
      <c r="C358" s="12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5.6" x14ac:dyDescent="0.3">
      <c r="A359" s="116"/>
      <c r="B359" s="116"/>
      <c r="C359" s="12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5.6" x14ac:dyDescent="0.3">
      <c r="A360" s="116"/>
      <c r="B360" s="116"/>
      <c r="C360" s="12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5.6" x14ac:dyDescent="0.3">
      <c r="A361" s="116"/>
      <c r="B361" s="116"/>
      <c r="C361" s="12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5.6" x14ac:dyDescent="0.3">
      <c r="A362" s="116"/>
      <c r="B362" s="116"/>
      <c r="C362" s="12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5.6" x14ac:dyDescent="0.3">
      <c r="A363" s="116"/>
      <c r="B363" s="116"/>
      <c r="C363" s="12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5.6" x14ac:dyDescent="0.3">
      <c r="A364" s="116"/>
      <c r="B364" s="116"/>
      <c r="C364" s="12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5.6" x14ac:dyDescent="0.3">
      <c r="A365" s="116"/>
      <c r="B365" s="116"/>
      <c r="C365" s="12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5.6" x14ac:dyDescent="0.3">
      <c r="A366" s="116"/>
      <c r="B366" s="116"/>
      <c r="C366" s="12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5.6" x14ac:dyDescent="0.3">
      <c r="A367" s="116"/>
      <c r="B367" s="116"/>
      <c r="C367" s="12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5.6" x14ac:dyDescent="0.3">
      <c r="A368" s="116"/>
      <c r="B368" s="116"/>
      <c r="C368" s="12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5.6" x14ac:dyDescent="0.3">
      <c r="A369" s="116"/>
      <c r="B369" s="116"/>
      <c r="C369" s="12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5.6" x14ac:dyDescent="0.3">
      <c r="A370" s="116"/>
      <c r="B370" s="116"/>
      <c r="C370" s="12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5.6" x14ac:dyDescent="0.3">
      <c r="A371" s="116"/>
      <c r="B371" s="116"/>
      <c r="C371" s="12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5.6" x14ac:dyDescent="0.3">
      <c r="A372" s="116"/>
      <c r="B372" s="116"/>
      <c r="C372" s="12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5.6" x14ac:dyDescent="0.3">
      <c r="A373" s="116"/>
      <c r="B373" s="116"/>
      <c r="C373" s="12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5.6" x14ac:dyDescent="0.3">
      <c r="A374" s="116"/>
      <c r="B374" s="116"/>
      <c r="C374" s="12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5.6" x14ac:dyDescent="0.3">
      <c r="A375" s="116"/>
      <c r="B375" s="116"/>
      <c r="C375" s="12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5.6" x14ac:dyDescent="0.3">
      <c r="A376" s="116"/>
      <c r="B376" s="116"/>
      <c r="C376" s="12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5.6" x14ac:dyDescent="0.3">
      <c r="A377" s="116"/>
      <c r="B377" s="116"/>
      <c r="C377" s="12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5.6" x14ac:dyDescent="0.3">
      <c r="A378" s="116"/>
      <c r="B378" s="116"/>
      <c r="C378" s="12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5.6" x14ac:dyDescent="0.3">
      <c r="A379" s="116"/>
      <c r="B379" s="116"/>
      <c r="C379" s="12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5.6" x14ac:dyDescent="0.3">
      <c r="A380" s="116"/>
      <c r="B380" s="116"/>
      <c r="C380" s="12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5.6" x14ac:dyDescent="0.3">
      <c r="A381" s="116"/>
      <c r="B381" s="116"/>
      <c r="C381" s="12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5.6" x14ac:dyDescent="0.3">
      <c r="A382" s="116"/>
      <c r="B382" s="116"/>
      <c r="C382" s="12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5.6" x14ac:dyDescent="0.3">
      <c r="A383" s="116"/>
      <c r="B383" s="116"/>
      <c r="C383" s="12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5.6" x14ac:dyDescent="0.3">
      <c r="A384" s="116"/>
      <c r="B384" s="116"/>
      <c r="C384" s="12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5.6" x14ac:dyDescent="0.3">
      <c r="A385" s="116"/>
      <c r="B385" s="116"/>
      <c r="C385" s="12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5.6" x14ac:dyDescent="0.3">
      <c r="A386" s="116"/>
      <c r="B386" s="116"/>
      <c r="C386" s="12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5.6" x14ac:dyDescent="0.3">
      <c r="A387" s="116"/>
      <c r="B387" s="116"/>
      <c r="C387" s="12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5.6" x14ac:dyDescent="0.3">
      <c r="A388" s="116"/>
      <c r="B388" s="116"/>
      <c r="C388" s="12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5.6" x14ac:dyDescent="0.3">
      <c r="A389" s="116"/>
      <c r="B389" s="116"/>
      <c r="C389" s="12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5.6" x14ac:dyDescent="0.3">
      <c r="A390" s="116"/>
      <c r="B390" s="116"/>
      <c r="C390" s="12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5.6" x14ac:dyDescent="0.3">
      <c r="A391" s="116"/>
      <c r="B391" s="116"/>
      <c r="C391" s="12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5.6" x14ac:dyDescent="0.3">
      <c r="A392" s="116"/>
      <c r="B392" s="116"/>
      <c r="C392" s="12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5.6" x14ac:dyDescent="0.3">
      <c r="A393" s="116"/>
      <c r="B393" s="116"/>
      <c r="C393" s="12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5.6" x14ac:dyDescent="0.3">
      <c r="A394" s="116"/>
      <c r="B394" s="116"/>
      <c r="C394" s="12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5.6" x14ac:dyDescent="0.3">
      <c r="A395" s="116"/>
      <c r="B395" s="116"/>
      <c r="C395" s="12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5.6" x14ac:dyDescent="0.3">
      <c r="A396" s="116"/>
      <c r="B396" s="116"/>
      <c r="C396" s="12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5.6" x14ac:dyDescent="0.3">
      <c r="A397" s="116"/>
      <c r="B397" s="116"/>
      <c r="C397" s="12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5.6" x14ac:dyDescent="0.3">
      <c r="A398" s="116"/>
      <c r="B398" s="116"/>
      <c r="C398" s="12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5.6" x14ac:dyDescent="0.3">
      <c r="A399" s="116"/>
      <c r="B399" s="116"/>
      <c r="C399" s="12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5.6" x14ac:dyDescent="0.3">
      <c r="A400" s="116"/>
      <c r="B400" s="116"/>
      <c r="C400" s="12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5.6" x14ac:dyDescent="0.3">
      <c r="A401" s="116"/>
      <c r="B401" s="116"/>
      <c r="C401" s="12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5.6" x14ac:dyDescent="0.3">
      <c r="A402" s="116"/>
      <c r="B402" s="116"/>
      <c r="C402" s="12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5.6" x14ac:dyDescent="0.3">
      <c r="A403" s="116"/>
      <c r="B403" s="116"/>
      <c r="C403" s="12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5.6" x14ac:dyDescent="0.3">
      <c r="A404" s="116"/>
      <c r="B404" s="116"/>
      <c r="C404" s="12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5.6" x14ac:dyDescent="0.3">
      <c r="A405" s="116"/>
      <c r="B405" s="116"/>
      <c r="C405" s="12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5.6" x14ac:dyDescent="0.3">
      <c r="A406" s="116"/>
      <c r="B406" s="116"/>
      <c r="C406" s="12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5.6" x14ac:dyDescent="0.3">
      <c r="A407" s="116"/>
      <c r="B407" s="116"/>
      <c r="C407" s="12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5.6" x14ac:dyDescent="0.3">
      <c r="A408" s="116"/>
      <c r="B408" s="116"/>
      <c r="C408" s="12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5.6" x14ac:dyDescent="0.3">
      <c r="A409" s="116"/>
      <c r="B409" s="116"/>
      <c r="C409" s="12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5.6" x14ac:dyDescent="0.3">
      <c r="A410" s="116"/>
      <c r="B410" s="116"/>
      <c r="C410" s="12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5.6" x14ac:dyDescent="0.3">
      <c r="A411" s="116"/>
      <c r="B411" s="116"/>
      <c r="C411" s="12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5.6" x14ac:dyDescent="0.3">
      <c r="A412" s="116"/>
      <c r="B412" s="116"/>
      <c r="C412" s="12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5.6" x14ac:dyDescent="0.3">
      <c r="A413" s="116"/>
      <c r="B413" s="116"/>
      <c r="C413" s="12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5.6" x14ac:dyDescent="0.3">
      <c r="A414" s="116"/>
      <c r="B414" s="116"/>
      <c r="C414" s="12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5.6" x14ac:dyDescent="0.3">
      <c r="A415" s="116"/>
      <c r="B415" s="116"/>
      <c r="C415" s="12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5.6" x14ac:dyDescent="0.3">
      <c r="A416" s="116"/>
      <c r="B416" s="116"/>
      <c r="C416" s="12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5.6" x14ac:dyDescent="0.3">
      <c r="A417" s="116"/>
      <c r="B417" s="116"/>
      <c r="C417" s="12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5.6" x14ac:dyDescent="0.3">
      <c r="A418" s="116"/>
      <c r="B418" s="116"/>
      <c r="C418" s="12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5.6" x14ac:dyDescent="0.3">
      <c r="A419" s="116"/>
      <c r="B419" s="116"/>
      <c r="C419" s="12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5.6" x14ac:dyDescent="0.3">
      <c r="A420" s="116"/>
      <c r="B420" s="116"/>
      <c r="C420" s="12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5.6" x14ac:dyDescent="0.3">
      <c r="A421" s="116"/>
      <c r="B421" s="116"/>
      <c r="C421" s="12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5.6" x14ac:dyDescent="0.3">
      <c r="A422" s="116"/>
      <c r="B422" s="116"/>
      <c r="C422" s="12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5.6" x14ac:dyDescent="0.3">
      <c r="A423" s="116"/>
      <c r="B423" s="116"/>
      <c r="C423" s="12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5.6" x14ac:dyDescent="0.3">
      <c r="A424" s="116"/>
      <c r="B424" s="116"/>
      <c r="C424" s="12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5.6" x14ac:dyDescent="0.3">
      <c r="A425" s="116"/>
      <c r="B425" s="116"/>
      <c r="C425" s="12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5.6" x14ac:dyDescent="0.3">
      <c r="A426" s="116"/>
      <c r="B426" s="116"/>
      <c r="C426" s="12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5.6" x14ac:dyDescent="0.3">
      <c r="A427" s="116"/>
      <c r="B427" s="116"/>
      <c r="C427" s="12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5.6" x14ac:dyDescent="0.3">
      <c r="A428" s="116"/>
      <c r="B428" s="116"/>
      <c r="C428" s="12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5.6" x14ac:dyDescent="0.3">
      <c r="A429" s="116"/>
      <c r="B429" s="116"/>
      <c r="C429" s="12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5.6" x14ac:dyDescent="0.3">
      <c r="A430" s="116"/>
      <c r="B430" s="116"/>
      <c r="C430" s="12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5.6" x14ac:dyDescent="0.3">
      <c r="A431" s="116"/>
      <c r="B431" s="116"/>
      <c r="C431" s="12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5.6" x14ac:dyDescent="0.3">
      <c r="A432" s="116"/>
      <c r="B432" s="116"/>
      <c r="C432" s="12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5.6" x14ac:dyDescent="0.3">
      <c r="A433" s="116"/>
      <c r="B433" s="116"/>
      <c r="C433" s="12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5.6" x14ac:dyDescent="0.3">
      <c r="A434" s="116"/>
      <c r="B434" s="116"/>
      <c r="C434" s="12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5.6" x14ac:dyDescent="0.3">
      <c r="A435" s="116"/>
      <c r="B435" s="116"/>
      <c r="C435" s="12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5.6" x14ac:dyDescent="0.3">
      <c r="A436" s="116"/>
      <c r="B436" s="116"/>
      <c r="C436" s="12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5.6" x14ac:dyDescent="0.3">
      <c r="A437" s="116"/>
      <c r="B437" s="116"/>
      <c r="C437" s="12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5.6" x14ac:dyDescent="0.3">
      <c r="A438" s="116"/>
      <c r="B438" s="116"/>
      <c r="C438" s="12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5.6" x14ac:dyDescent="0.3">
      <c r="A439" s="116"/>
      <c r="B439" s="116"/>
      <c r="C439" s="12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5.6" x14ac:dyDescent="0.3">
      <c r="A440" s="116"/>
      <c r="B440" s="116"/>
      <c r="C440" s="12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5.6" x14ac:dyDescent="0.3">
      <c r="A441" s="116"/>
      <c r="B441" s="116"/>
      <c r="C441" s="12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5.6" x14ac:dyDescent="0.3">
      <c r="A442" s="116"/>
      <c r="B442" s="116"/>
      <c r="C442" s="12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5.6" x14ac:dyDescent="0.3">
      <c r="A443" s="116"/>
      <c r="B443" s="116"/>
      <c r="C443" s="12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5.6" x14ac:dyDescent="0.3">
      <c r="A444" s="116"/>
      <c r="B444" s="116"/>
      <c r="C444" s="12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5.6" x14ac:dyDescent="0.3">
      <c r="A445" s="116"/>
      <c r="B445" s="116"/>
      <c r="C445" s="12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5.6" x14ac:dyDescent="0.3">
      <c r="A446" s="116"/>
      <c r="B446" s="116"/>
      <c r="C446" s="12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5.6" x14ac:dyDescent="0.3">
      <c r="A447" s="116"/>
      <c r="B447" s="116"/>
      <c r="C447" s="12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5.6" x14ac:dyDescent="0.3">
      <c r="A448" s="116"/>
      <c r="B448" s="116"/>
      <c r="C448" s="12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5.6" x14ac:dyDescent="0.3">
      <c r="A449" s="116"/>
      <c r="B449" s="116"/>
      <c r="C449" s="12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5.6" x14ac:dyDescent="0.3">
      <c r="A450" s="116"/>
      <c r="B450" s="116"/>
      <c r="C450" s="12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5.6" x14ac:dyDescent="0.3">
      <c r="A451" s="116"/>
      <c r="B451" s="116"/>
      <c r="C451" s="12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5.6" x14ac:dyDescent="0.3">
      <c r="A452" s="116"/>
      <c r="B452" s="116"/>
      <c r="C452" s="12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5.6" x14ac:dyDescent="0.3">
      <c r="A453" s="116"/>
      <c r="B453" s="116"/>
      <c r="C453" s="12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5.6" x14ac:dyDescent="0.3">
      <c r="A454" s="116"/>
      <c r="B454" s="116"/>
      <c r="C454" s="12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5.6" x14ac:dyDescent="0.3">
      <c r="A455" s="116"/>
      <c r="B455" s="116"/>
      <c r="C455" s="12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5.6" x14ac:dyDescent="0.3">
      <c r="A456" s="116"/>
      <c r="B456" s="116"/>
      <c r="C456" s="12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5.6" x14ac:dyDescent="0.3">
      <c r="A457" s="116"/>
      <c r="B457" s="116"/>
      <c r="C457" s="12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5.6" x14ac:dyDescent="0.3">
      <c r="A458" s="116"/>
      <c r="B458" s="116"/>
      <c r="C458" s="12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5.6" x14ac:dyDescent="0.3">
      <c r="A459" s="116"/>
      <c r="B459" s="116"/>
      <c r="C459" s="12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5.6" x14ac:dyDescent="0.3">
      <c r="A460" s="116"/>
      <c r="B460" s="116"/>
      <c r="C460" s="12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5.6" x14ac:dyDescent="0.3">
      <c r="A461" s="116"/>
      <c r="B461" s="116"/>
      <c r="C461" s="12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5.6" x14ac:dyDescent="0.3">
      <c r="A462" s="116"/>
      <c r="B462" s="116"/>
      <c r="C462" s="12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5.6" x14ac:dyDescent="0.3">
      <c r="A463" s="116"/>
      <c r="B463" s="116"/>
      <c r="C463" s="12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5.6" x14ac:dyDescent="0.3">
      <c r="A464" s="116"/>
      <c r="B464" s="116"/>
      <c r="C464" s="12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5.6" x14ac:dyDescent="0.3">
      <c r="A465" s="116"/>
      <c r="B465" s="116"/>
      <c r="C465" s="12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5.6" x14ac:dyDescent="0.3">
      <c r="A466" s="116"/>
      <c r="B466" s="116"/>
      <c r="C466" s="12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5.6" x14ac:dyDescent="0.3">
      <c r="A467" s="116"/>
      <c r="B467" s="116"/>
      <c r="C467" s="12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5.6" x14ac:dyDescent="0.3">
      <c r="A468" s="116"/>
      <c r="B468" s="116"/>
      <c r="C468" s="12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5.6" x14ac:dyDescent="0.3">
      <c r="A469" s="116"/>
      <c r="B469" s="116"/>
      <c r="C469" s="12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5.6" x14ac:dyDescent="0.3">
      <c r="A470" s="116"/>
      <c r="B470" s="116"/>
      <c r="C470" s="12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5.6" x14ac:dyDescent="0.3">
      <c r="A471" s="116"/>
      <c r="B471" s="116"/>
      <c r="C471" s="12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5.6" x14ac:dyDescent="0.3">
      <c r="A472" s="116"/>
      <c r="B472" s="116"/>
      <c r="C472" s="12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5.6" x14ac:dyDescent="0.3">
      <c r="A473" s="116"/>
      <c r="B473" s="116"/>
      <c r="C473" s="12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5.6" x14ac:dyDescent="0.3">
      <c r="A474" s="116"/>
      <c r="B474" s="116"/>
      <c r="C474" s="12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5.6" x14ac:dyDescent="0.3">
      <c r="A475" s="116"/>
      <c r="B475" s="116"/>
      <c r="C475" s="12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5.6" x14ac:dyDescent="0.3">
      <c r="A476" s="116"/>
      <c r="B476" s="116"/>
      <c r="C476" s="12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5.6" x14ac:dyDescent="0.3">
      <c r="A477" s="116"/>
      <c r="B477" s="116"/>
      <c r="C477" s="12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5.6" x14ac:dyDescent="0.3">
      <c r="A478" s="116"/>
      <c r="B478" s="116"/>
      <c r="C478" s="12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5.6" x14ac:dyDescent="0.3">
      <c r="A479" s="116"/>
      <c r="B479" s="116"/>
      <c r="C479" s="12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5.6" x14ac:dyDescent="0.3">
      <c r="A480" s="116"/>
      <c r="B480" s="116"/>
      <c r="C480" s="12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5.6" x14ac:dyDescent="0.3">
      <c r="A481" s="116"/>
      <c r="B481" s="116"/>
      <c r="C481" s="12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5.6" x14ac:dyDescent="0.3">
      <c r="A482" s="116"/>
      <c r="B482" s="116"/>
      <c r="C482" s="12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5.6" x14ac:dyDescent="0.3">
      <c r="A483" s="116"/>
      <c r="B483" s="116"/>
      <c r="C483" s="12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5.6" x14ac:dyDescent="0.3">
      <c r="A484" s="116"/>
      <c r="B484" s="116"/>
      <c r="C484" s="12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5.6" x14ac:dyDescent="0.3">
      <c r="A485" s="116"/>
      <c r="B485" s="116"/>
      <c r="C485" s="12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5.6" x14ac:dyDescent="0.3">
      <c r="A486" s="116"/>
      <c r="B486" s="116"/>
      <c r="C486" s="12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5.6" x14ac:dyDescent="0.3">
      <c r="A487" s="116"/>
      <c r="B487" s="116"/>
      <c r="C487" s="12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5.6" x14ac:dyDescent="0.3">
      <c r="A488" s="116"/>
      <c r="B488" s="116"/>
      <c r="C488" s="12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5.6" x14ac:dyDescent="0.3">
      <c r="A489" s="116"/>
      <c r="B489" s="116"/>
      <c r="C489" s="12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5.6" x14ac:dyDescent="0.3">
      <c r="A490" s="116"/>
      <c r="B490" s="116"/>
      <c r="C490" s="12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5.6" x14ac:dyDescent="0.3">
      <c r="A491" s="116"/>
      <c r="B491" s="116"/>
      <c r="C491" s="12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5.6" x14ac:dyDescent="0.3">
      <c r="A492" s="116"/>
      <c r="B492" s="116"/>
      <c r="C492" s="12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5.6" x14ac:dyDescent="0.3">
      <c r="A493" s="116"/>
      <c r="B493" s="116"/>
      <c r="C493" s="12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5.6" x14ac:dyDescent="0.3">
      <c r="A494" s="116"/>
      <c r="B494" s="116"/>
      <c r="C494" s="12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5.6" x14ac:dyDescent="0.3">
      <c r="A495" s="116"/>
      <c r="B495" s="116"/>
      <c r="C495" s="12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5.6" x14ac:dyDescent="0.3">
      <c r="A496" s="116"/>
      <c r="B496" s="116"/>
      <c r="C496" s="12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5.6" x14ac:dyDescent="0.3">
      <c r="A497" s="116"/>
      <c r="B497" s="116"/>
      <c r="C497" s="12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5.6" x14ac:dyDescent="0.3">
      <c r="A498" s="116"/>
      <c r="B498" s="116"/>
      <c r="C498" s="12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5.6" x14ac:dyDescent="0.3">
      <c r="A499" s="116"/>
      <c r="B499" s="116"/>
      <c r="C499" s="12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5.6" x14ac:dyDescent="0.3">
      <c r="A500" s="116"/>
      <c r="B500" s="116"/>
      <c r="C500" s="12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5.6" x14ac:dyDescent="0.3">
      <c r="A501" s="116"/>
      <c r="B501" s="116"/>
      <c r="C501" s="12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5.6" x14ac:dyDescent="0.3">
      <c r="A502" s="116"/>
      <c r="B502" s="116"/>
      <c r="C502" s="12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5.6" x14ac:dyDescent="0.3">
      <c r="A503" s="116"/>
      <c r="B503" s="116"/>
      <c r="C503" s="12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5.6" x14ac:dyDescent="0.3">
      <c r="A504" s="116"/>
      <c r="B504" s="116"/>
      <c r="C504" s="12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5.6" x14ac:dyDescent="0.3">
      <c r="A505" s="116"/>
      <c r="B505" s="116"/>
      <c r="C505" s="12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5.6" x14ac:dyDescent="0.3">
      <c r="A506" s="116"/>
      <c r="B506" s="116"/>
      <c r="C506" s="12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5.6" x14ac:dyDescent="0.3">
      <c r="A507" s="116"/>
      <c r="B507" s="116"/>
      <c r="C507" s="12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5.6" x14ac:dyDescent="0.3">
      <c r="A508" s="116"/>
      <c r="B508" s="116"/>
      <c r="C508" s="12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5.6" x14ac:dyDescent="0.3">
      <c r="A509" s="116"/>
      <c r="B509" s="116"/>
      <c r="C509" s="12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5.6" x14ac:dyDescent="0.3">
      <c r="A510" s="116"/>
      <c r="B510" s="116"/>
      <c r="C510" s="12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5.6" x14ac:dyDescent="0.3">
      <c r="A511" s="116"/>
      <c r="B511" s="116"/>
      <c r="C511" s="12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5.6" x14ac:dyDescent="0.3">
      <c r="A512" s="116"/>
      <c r="B512" s="116"/>
      <c r="C512" s="12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5.6" x14ac:dyDescent="0.3">
      <c r="A513" s="116"/>
      <c r="B513" s="116"/>
      <c r="C513" s="12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5.6" x14ac:dyDescent="0.3">
      <c r="A514" s="116"/>
      <c r="B514" s="116"/>
      <c r="C514" s="12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5.6" x14ac:dyDescent="0.3">
      <c r="A515" s="116"/>
      <c r="B515" s="116"/>
      <c r="C515" s="12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5.6" x14ac:dyDescent="0.3">
      <c r="A516" s="116"/>
      <c r="B516" s="116"/>
      <c r="C516" s="12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5.6" x14ac:dyDescent="0.3">
      <c r="A517" s="116"/>
      <c r="B517" s="116"/>
      <c r="C517" s="12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5.6" x14ac:dyDescent="0.3">
      <c r="A518" s="116"/>
      <c r="B518" s="116"/>
      <c r="C518" s="12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5.6" x14ac:dyDescent="0.3">
      <c r="A519" s="116"/>
      <c r="B519" s="116"/>
      <c r="C519" s="12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5.6" x14ac:dyDescent="0.3">
      <c r="A520" s="116"/>
      <c r="B520" s="116"/>
      <c r="C520" s="12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5.6" x14ac:dyDescent="0.3">
      <c r="A521" s="116"/>
      <c r="B521" s="116"/>
      <c r="C521" s="12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5.6" x14ac:dyDescent="0.3">
      <c r="A522" s="116"/>
      <c r="B522" s="116"/>
      <c r="C522" s="12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5.6" x14ac:dyDescent="0.3">
      <c r="A523" s="116"/>
      <c r="B523" s="116"/>
      <c r="C523" s="12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5.6" x14ac:dyDescent="0.3">
      <c r="A524" s="116"/>
      <c r="B524" s="116"/>
      <c r="C524" s="12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5.6" x14ac:dyDescent="0.3">
      <c r="A525" s="116"/>
      <c r="B525" s="116"/>
      <c r="C525" s="12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5.6" x14ac:dyDescent="0.3">
      <c r="A526" s="116"/>
      <c r="B526" s="116"/>
      <c r="C526" s="12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5.6" x14ac:dyDescent="0.3">
      <c r="A527" s="116"/>
      <c r="B527" s="116"/>
      <c r="C527" s="12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5.6" x14ac:dyDescent="0.3">
      <c r="A528" s="116"/>
      <c r="B528" s="116"/>
      <c r="C528" s="12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5.6" x14ac:dyDescent="0.3">
      <c r="A529" s="116"/>
      <c r="B529" s="116"/>
      <c r="C529" s="12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5.6" x14ac:dyDescent="0.3">
      <c r="A530" s="116"/>
      <c r="B530" s="116"/>
      <c r="C530" s="12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5.6" x14ac:dyDescent="0.3">
      <c r="A531" s="116"/>
      <c r="B531" s="116"/>
      <c r="C531" s="12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5.6" x14ac:dyDescent="0.3">
      <c r="A532" s="116"/>
      <c r="B532" s="116"/>
      <c r="C532" s="12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5.6" x14ac:dyDescent="0.3">
      <c r="A533" s="116"/>
      <c r="B533" s="116"/>
      <c r="C533" s="12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5.6" x14ac:dyDescent="0.3">
      <c r="A534" s="116"/>
      <c r="B534" s="116"/>
      <c r="C534" s="12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5.6" x14ac:dyDescent="0.3">
      <c r="A535" s="116"/>
      <c r="B535" s="116"/>
      <c r="C535" s="12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5.6" x14ac:dyDescent="0.3">
      <c r="A536" s="116"/>
      <c r="B536" s="116"/>
      <c r="C536" s="12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5.6" x14ac:dyDescent="0.3">
      <c r="A537" s="116"/>
      <c r="B537" s="116"/>
      <c r="C537" s="12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5.6" x14ac:dyDescent="0.3">
      <c r="A538" s="116"/>
      <c r="B538" s="116"/>
      <c r="C538" s="12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5.6" x14ac:dyDescent="0.3">
      <c r="A539" s="116"/>
      <c r="B539" s="116"/>
      <c r="C539" s="12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5.6" x14ac:dyDescent="0.3">
      <c r="A540" s="116"/>
      <c r="B540" s="116"/>
      <c r="C540" s="12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5.6" x14ac:dyDescent="0.3">
      <c r="A541" s="116"/>
      <c r="B541" s="116"/>
      <c r="C541" s="12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5.6" x14ac:dyDescent="0.3">
      <c r="A542" s="116"/>
      <c r="B542" s="116"/>
      <c r="C542" s="12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5.6" x14ac:dyDescent="0.3">
      <c r="A543" s="116"/>
      <c r="B543" s="116"/>
      <c r="C543" s="12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5.6" x14ac:dyDescent="0.3">
      <c r="A544" s="116"/>
      <c r="B544" s="116"/>
      <c r="C544" s="12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5.6" x14ac:dyDescent="0.3">
      <c r="A545" s="116"/>
      <c r="B545" s="116"/>
      <c r="C545" s="12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5.6" x14ac:dyDescent="0.3">
      <c r="A546" s="116"/>
      <c r="B546" s="116"/>
      <c r="C546" s="12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5.6" x14ac:dyDescent="0.3">
      <c r="A547" s="116"/>
      <c r="B547" s="116"/>
      <c r="C547" s="12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5.6" x14ac:dyDescent="0.3">
      <c r="A548" s="116"/>
      <c r="B548" s="116"/>
      <c r="C548" s="12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5.6" x14ac:dyDescent="0.3">
      <c r="A549" s="116"/>
      <c r="B549" s="116"/>
      <c r="C549" s="12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5.6" x14ac:dyDescent="0.3">
      <c r="A550" s="116"/>
      <c r="B550" s="116"/>
      <c r="C550" s="12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5.6" x14ac:dyDescent="0.3">
      <c r="A551" s="116"/>
      <c r="B551" s="116"/>
      <c r="C551" s="12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5.6" x14ac:dyDescent="0.3">
      <c r="A552" s="116"/>
      <c r="B552" s="116"/>
      <c r="C552" s="12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5.6" x14ac:dyDescent="0.3">
      <c r="A553" s="116"/>
      <c r="B553" s="116"/>
      <c r="C553" s="12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5.6" x14ac:dyDescent="0.3">
      <c r="A554" s="116"/>
      <c r="B554" s="116"/>
      <c r="C554" s="12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5.6" x14ac:dyDescent="0.3">
      <c r="A555" s="116"/>
      <c r="B555" s="116"/>
      <c r="C555" s="12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5.6" x14ac:dyDescent="0.3">
      <c r="A556" s="116"/>
      <c r="B556" s="116"/>
      <c r="C556" s="12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5.6" x14ac:dyDescent="0.3">
      <c r="A557" s="116"/>
      <c r="B557" s="116"/>
      <c r="C557" s="12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5.6" x14ac:dyDescent="0.3">
      <c r="A558" s="116"/>
      <c r="B558" s="116"/>
      <c r="C558" s="12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5.6" x14ac:dyDescent="0.3">
      <c r="A559" s="116"/>
      <c r="B559" s="116"/>
      <c r="C559" s="12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5.6" x14ac:dyDescent="0.3">
      <c r="A560" s="116"/>
      <c r="B560" s="116"/>
      <c r="C560" s="12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5.6" x14ac:dyDescent="0.3">
      <c r="A561" s="116"/>
      <c r="B561" s="116"/>
      <c r="C561" s="12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5.6" x14ac:dyDescent="0.3">
      <c r="A562" s="116"/>
      <c r="B562" s="116"/>
      <c r="C562" s="12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5.6" x14ac:dyDescent="0.3">
      <c r="A563" s="116"/>
      <c r="B563" s="116"/>
      <c r="C563" s="12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5.6" x14ac:dyDescent="0.3">
      <c r="A564" s="116"/>
      <c r="B564" s="116"/>
      <c r="C564" s="12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5.6" x14ac:dyDescent="0.3">
      <c r="A565" s="116"/>
      <c r="B565" s="116"/>
      <c r="C565" s="12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5.6" x14ac:dyDescent="0.3">
      <c r="A566" s="116"/>
      <c r="B566" s="116"/>
      <c r="C566" s="12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5.6" x14ac:dyDescent="0.3">
      <c r="A567" s="116"/>
      <c r="B567" s="116"/>
      <c r="C567" s="12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5.6" x14ac:dyDescent="0.3">
      <c r="A568" s="116"/>
      <c r="B568" s="116"/>
      <c r="C568" s="12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5.6" x14ac:dyDescent="0.3">
      <c r="A569" s="116"/>
      <c r="B569" s="116"/>
      <c r="C569" s="12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5.6" x14ac:dyDescent="0.3">
      <c r="A570" s="116"/>
      <c r="B570" s="116"/>
      <c r="C570" s="12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5.6" x14ac:dyDescent="0.3">
      <c r="A571" s="116"/>
      <c r="B571" s="116"/>
      <c r="C571" s="12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5.6" x14ac:dyDescent="0.3">
      <c r="A572" s="116"/>
      <c r="B572" s="116"/>
      <c r="C572" s="12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5.6" x14ac:dyDescent="0.3">
      <c r="A573" s="116"/>
      <c r="B573" s="116"/>
      <c r="C573" s="12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5.6" x14ac:dyDescent="0.3">
      <c r="A574" s="116"/>
      <c r="B574" s="116"/>
      <c r="C574" s="12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5.6" x14ac:dyDescent="0.3">
      <c r="A575" s="116"/>
      <c r="B575" s="116"/>
      <c r="C575" s="12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5.6" x14ac:dyDescent="0.3">
      <c r="A576" s="116"/>
      <c r="B576" s="116"/>
      <c r="C576" s="12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5.6" x14ac:dyDescent="0.3">
      <c r="A577" s="116"/>
      <c r="B577" s="116"/>
      <c r="C577" s="12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5.6" x14ac:dyDescent="0.3">
      <c r="A578" s="116"/>
      <c r="B578" s="116"/>
      <c r="C578" s="12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5.6" x14ac:dyDescent="0.3">
      <c r="A579" s="116"/>
      <c r="B579" s="116"/>
      <c r="C579" s="12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5.6" x14ac:dyDescent="0.3">
      <c r="A580" s="116"/>
      <c r="B580" s="116"/>
      <c r="C580" s="12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5.6" x14ac:dyDescent="0.3">
      <c r="A581" s="116"/>
      <c r="B581" s="116"/>
      <c r="C581" s="12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5.6" x14ac:dyDescent="0.3">
      <c r="A582" s="116"/>
      <c r="B582" s="116"/>
      <c r="C582" s="12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5.6" x14ac:dyDescent="0.3">
      <c r="A583" s="116"/>
      <c r="B583" s="116"/>
      <c r="C583" s="12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5.6" x14ac:dyDescent="0.3">
      <c r="A584" s="116"/>
      <c r="B584" s="116"/>
      <c r="C584" s="12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5.6" x14ac:dyDescent="0.3">
      <c r="A585" s="116"/>
      <c r="B585" s="116"/>
      <c r="C585" s="12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5.6" x14ac:dyDescent="0.3">
      <c r="A586" s="116"/>
      <c r="B586" s="116"/>
      <c r="C586" s="12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5.6" x14ac:dyDescent="0.3">
      <c r="A587" s="116"/>
      <c r="B587" s="116"/>
      <c r="C587" s="12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5.6" x14ac:dyDescent="0.3">
      <c r="A588" s="116"/>
      <c r="B588" s="116"/>
      <c r="C588" s="12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5.6" x14ac:dyDescent="0.3">
      <c r="A589" s="116"/>
      <c r="B589" s="116"/>
      <c r="C589" s="12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5.6" x14ac:dyDescent="0.3">
      <c r="A590" s="116"/>
      <c r="B590" s="116"/>
      <c r="C590" s="12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5.6" x14ac:dyDescent="0.3">
      <c r="A591" s="116"/>
      <c r="B591" s="116"/>
      <c r="C591" s="12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5.6" x14ac:dyDescent="0.3">
      <c r="A592" s="116"/>
      <c r="B592" s="116"/>
      <c r="C592" s="12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5.6" x14ac:dyDescent="0.3">
      <c r="A593" s="116"/>
      <c r="B593" s="116"/>
      <c r="C593" s="12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5.6" x14ac:dyDescent="0.3">
      <c r="A594" s="116"/>
      <c r="B594" s="116"/>
      <c r="C594" s="12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5.6" x14ac:dyDescent="0.3">
      <c r="A595" s="116"/>
      <c r="B595" s="116"/>
      <c r="C595" s="12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5.6" x14ac:dyDescent="0.3">
      <c r="A596" s="116"/>
      <c r="B596" s="116"/>
      <c r="C596" s="12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5.6" x14ac:dyDescent="0.3">
      <c r="A597" s="116"/>
      <c r="B597" s="116"/>
      <c r="C597" s="12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5.6" x14ac:dyDescent="0.3">
      <c r="A598" s="116"/>
      <c r="B598" s="116"/>
      <c r="C598" s="12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5.6" x14ac:dyDescent="0.3">
      <c r="A599" s="116"/>
      <c r="B599" s="116"/>
      <c r="C599" s="12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5.6" x14ac:dyDescent="0.3">
      <c r="A600" s="116"/>
      <c r="B600" s="116"/>
      <c r="C600" s="12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5.6" x14ac:dyDescent="0.3">
      <c r="A601" s="116"/>
      <c r="B601" s="116"/>
      <c r="C601" s="12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5.6" x14ac:dyDescent="0.3">
      <c r="A602" s="116"/>
      <c r="B602" s="116"/>
      <c r="C602" s="12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5.6" x14ac:dyDescent="0.3">
      <c r="A603" s="116"/>
      <c r="B603" s="116"/>
      <c r="C603" s="12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5.6" x14ac:dyDescent="0.3">
      <c r="A604" s="116"/>
      <c r="B604" s="116"/>
      <c r="C604" s="12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5.6" x14ac:dyDescent="0.3">
      <c r="A605" s="116"/>
      <c r="B605" s="116"/>
      <c r="C605" s="12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5.6" x14ac:dyDescent="0.3">
      <c r="A606" s="116"/>
      <c r="B606" s="116"/>
      <c r="C606" s="12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5.6" x14ac:dyDescent="0.3">
      <c r="A607" s="116"/>
      <c r="B607" s="116"/>
      <c r="C607" s="12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5.6" x14ac:dyDescent="0.3">
      <c r="A608" s="116"/>
      <c r="B608" s="116"/>
      <c r="C608" s="12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5.6" x14ac:dyDescent="0.3">
      <c r="A609" s="116"/>
      <c r="B609" s="116"/>
      <c r="C609" s="12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5.6" x14ac:dyDescent="0.3">
      <c r="A610" s="116"/>
      <c r="B610" s="116"/>
      <c r="C610" s="12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5.6" x14ac:dyDescent="0.3">
      <c r="A611" s="116"/>
      <c r="B611" s="116"/>
      <c r="C611" s="12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5.6" x14ac:dyDescent="0.3">
      <c r="A612" s="116"/>
      <c r="B612" s="116"/>
      <c r="C612" s="12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5.6" x14ac:dyDescent="0.3">
      <c r="A613" s="116"/>
      <c r="B613" s="116"/>
      <c r="C613" s="12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5.6" x14ac:dyDescent="0.3">
      <c r="A614" s="116"/>
      <c r="B614" s="116"/>
      <c r="C614" s="12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5.6" x14ac:dyDescent="0.3">
      <c r="A615" s="116"/>
      <c r="B615" s="116"/>
      <c r="C615" s="12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5.6" x14ac:dyDescent="0.3">
      <c r="A616" s="116"/>
      <c r="B616" s="116"/>
      <c r="C616" s="12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5.6" x14ac:dyDescent="0.3">
      <c r="A617" s="116"/>
      <c r="B617" s="116"/>
      <c r="C617" s="12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5.6" x14ac:dyDescent="0.3">
      <c r="A618" s="116"/>
      <c r="B618" s="116"/>
      <c r="C618" s="12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5.6" x14ac:dyDescent="0.3">
      <c r="A619" s="116"/>
      <c r="B619" s="116"/>
      <c r="C619" s="12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5.6" x14ac:dyDescent="0.3">
      <c r="A620" s="116"/>
      <c r="B620" s="116"/>
      <c r="C620" s="12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5.6" x14ac:dyDescent="0.3">
      <c r="A621" s="116"/>
      <c r="B621" s="116"/>
      <c r="C621" s="12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5.6" x14ac:dyDescent="0.3">
      <c r="A622" s="116"/>
      <c r="B622" s="116"/>
      <c r="C622" s="12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5.6" x14ac:dyDescent="0.3">
      <c r="A623" s="116"/>
      <c r="B623" s="116"/>
      <c r="C623" s="12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5.6" x14ac:dyDescent="0.3">
      <c r="A624" s="116"/>
      <c r="B624" s="116"/>
      <c r="C624" s="12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5.6" x14ac:dyDescent="0.3">
      <c r="A625" s="116"/>
      <c r="B625" s="116"/>
      <c r="C625" s="12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5.6" x14ac:dyDescent="0.3">
      <c r="A626" s="116"/>
      <c r="B626" s="116"/>
      <c r="C626" s="12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5.6" x14ac:dyDescent="0.3">
      <c r="A627" s="116"/>
      <c r="B627" s="116"/>
      <c r="C627" s="12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5.6" x14ac:dyDescent="0.3">
      <c r="A628" s="116"/>
      <c r="B628" s="116"/>
      <c r="C628" s="12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5.6" x14ac:dyDescent="0.3">
      <c r="A629" s="116"/>
      <c r="B629" s="116"/>
      <c r="C629" s="12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5.6" x14ac:dyDescent="0.3">
      <c r="A630" s="116"/>
      <c r="B630" s="116"/>
      <c r="C630" s="12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5.6" x14ac:dyDescent="0.3">
      <c r="A631" s="116"/>
      <c r="B631" s="116"/>
      <c r="C631" s="12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5.6" x14ac:dyDescent="0.3">
      <c r="A632" s="116"/>
      <c r="B632" s="116"/>
      <c r="C632" s="12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5.6" x14ac:dyDescent="0.3">
      <c r="A633" s="116"/>
      <c r="B633" s="116"/>
      <c r="C633" s="12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5.6" x14ac:dyDescent="0.3">
      <c r="A634" s="116"/>
      <c r="B634" s="116"/>
      <c r="C634" s="12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5.6" x14ac:dyDescent="0.3">
      <c r="A635" s="116"/>
      <c r="B635" s="116"/>
      <c r="C635" s="12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5.6" x14ac:dyDescent="0.3">
      <c r="A636" s="116"/>
      <c r="B636" s="116"/>
      <c r="C636" s="12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5.6" x14ac:dyDescent="0.3">
      <c r="A637" s="116"/>
      <c r="B637" s="116"/>
      <c r="C637" s="12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5.6" x14ac:dyDescent="0.3">
      <c r="A638" s="116"/>
      <c r="B638" s="116"/>
      <c r="C638" s="12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5.6" x14ac:dyDescent="0.3">
      <c r="A639" s="116"/>
      <c r="B639" s="116"/>
      <c r="C639" s="12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5.6" x14ac:dyDescent="0.3">
      <c r="A640" s="116"/>
      <c r="B640" s="116"/>
      <c r="C640" s="12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5.6" x14ac:dyDescent="0.3">
      <c r="A641" s="116"/>
      <c r="B641" s="116"/>
      <c r="C641" s="12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5.6" x14ac:dyDescent="0.3">
      <c r="A642" s="116"/>
      <c r="B642" s="116"/>
      <c r="C642" s="12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5.6" x14ac:dyDescent="0.3">
      <c r="A643" s="116"/>
      <c r="B643" s="116"/>
      <c r="C643" s="12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5.6" x14ac:dyDescent="0.3">
      <c r="A644" s="116"/>
      <c r="B644" s="116"/>
      <c r="C644" s="12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5.6" x14ac:dyDescent="0.3">
      <c r="A645" s="116"/>
      <c r="B645" s="116"/>
      <c r="C645" s="12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5.6" x14ac:dyDescent="0.3">
      <c r="A646" s="116"/>
      <c r="B646" s="116"/>
      <c r="C646" s="12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5.6" x14ac:dyDescent="0.3">
      <c r="A647" s="116"/>
      <c r="B647" s="116"/>
      <c r="C647" s="12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5.6" x14ac:dyDescent="0.3">
      <c r="A648" s="116"/>
      <c r="B648" s="116"/>
      <c r="C648" s="12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5.6" x14ac:dyDescent="0.3">
      <c r="A649" s="116"/>
      <c r="B649" s="116"/>
      <c r="C649" s="12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5.6" x14ac:dyDescent="0.3">
      <c r="A650" s="116"/>
      <c r="B650" s="116"/>
      <c r="C650" s="12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5.6" x14ac:dyDescent="0.3">
      <c r="A651" s="116"/>
      <c r="B651" s="116"/>
      <c r="C651" s="12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5.6" x14ac:dyDescent="0.3">
      <c r="A652" s="116"/>
      <c r="B652" s="116"/>
      <c r="C652" s="12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5.6" x14ac:dyDescent="0.3">
      <c r="A653" s="116"/>
      <c r="B653" s="116"/>
      <c r="C653" s="12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5.6" x14ac:dyDescent="0.3">
      <c r="A654" s="116"/>
      <c r="B654" s="116"/>
      <c r="C654" s="12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5.6" x14ac:dyDescent="0.3">
      <c r="A655" s="116"/>
      <c r="B655" s="116"/>
      <c r="C655" s="12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5.6" x14ac:dyDescent="0.3">
      <c r="A656" s="116"/>
      <c r="B656" s="116"/>
      <c r="C656" s="12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5.6" x14ac:dyDescent="0.3">
      <c r="A657" s="116"/>
      <c r="B657" s="116"/>
      <c r="C657" s="12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5.6" x14ac:dyDescent="0.3">
      <c r="A658" s="116"/>
      <c r="B658" s="116"/>
      <c r="C658" s="12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5.6" x14ac:dyDescent="0.3">
      <c r="A659" s="116"/>
      <c r="B659" s="116"/>
      <c r="C659" s="12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5.6" x14ac:dyDescent="0.3">
      <c r="A660" s="116"/>
      <c r="B660" s="116"/>
      <c r="C660" s="12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5.6" x14ac:dyDescent="0.3">
      <c r="A661" s="116"/>
      <c r="B661" s="116"/>
      <c r="C661" s="12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5.6" x14ac:dyDescent="0.3">
      <c r="A662" s="116"/>
      <c r="B662" s="116"/>
      <c r="C662" s="12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5.6" x14ac:dyDescent="0.3">
      <c r="A663" s="116"/>
      <c r="B663" s="116"/>
      <c r="C663" s="12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5.6" x14ac:dyDescent="0.3">
      <c r="A664" s="116"/>
      <c r="B664" s="116"/>
      <c r="C664" s="12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5.6" x14ac:dyDescent="0.3">
      <c r="A665" s="116"/>
      <c r="B665" s="116"/>
      <c r="C665" s="12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5.6" x14ac:dyDescent="0.3">
      <c r="A666" s="116"/>
      <c r="B666" s="116"/>
      <c r="C666" s="12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5.6" x14ac:dyDescent="0.3">
      <c r="A667" s="116"/>
      <c r="B667" s="116"/>
      <c r="C667" s="12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5.6" x14ac:dyDescent="0.3">
      <c r="A668" s="116"/>
      <c r="B668" s="116"/>
      <c r="C668" s="12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5.6" x14ac:dyDescent="0.3">
      <c r="A669" s="116"/>
      <c r="B669" s="116"/>
      <c r="C669" s="12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5.6" x14ac:dyDescent="0.3">
      <c r="A670" s="116"/>
      <c r="B670" s="116"/>
      <c r="C670" s="12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5.6" x14ac:dyDescent="0.3">
      <c r="A671" s="116"/>
      <c r="B671" s="116"/>
      <c r="C671" s="12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5.6" x14ac:dyDescent="0.3">
      <c r="A672" s="116"/>
      <c r="B672" s="116"/>
      <c r="C672" s="12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5.6" x14ac:dyDescent="0.3">
      <c r="A673" s="116"/>
      <c r="B673" s="116"/>
      <c r="C673" s="12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5.6" x14ac:dyDescent="0.3">
      <c r="A674" s="116"/>
      <c r="B674" s="116"/>
      <c r="C674" s="12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5.6" x14ac:dyDescent="0.3">
      <c r="A675" s="116"/>
      <c r="B675" s="116"/>
      <c r="C675" s="12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5.6" x14ac:dyDescent="0.3">
      <c r="A676" s="116"/>
      <c r="B676" s="116"/>
      <c r="C676" s="12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5.6" x14ac:dyDescent="0.3">
      <c r="A677" s="116"/>
      <c r="B677" s="116"/>
      <c r="C677" s="12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5.6" x14ac:dyDescent="0.3">
      <c r="A678" s="116"/>
      <c r="B678" s="116"/>
      <c r="C678" s="12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5.6" x14ac:dyDescent="0.3">
      <c r="A679" s="116"/>
      <c r="B679" s="116"/>
      <c r="C679" s="12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5.6" x14ac:dyDescent="0.3">
      <c r="A680" s="116"/>
      <c r="B680" s="116"/>
      <c r="C680" s="12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5.6" x14ac:dyDescent="0.3">
      <c r="A681" s="116"/>
      <c r="B681" s="116"/>
      <c r="C681" s="12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5.6" x14ac:dyDescent="0.3">
      <c r="A682" s="116"/>
      <c r="B682" s="116"/>
      <c r="C682" s="12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5.6" x14ac:dyDescent="0.3">
      <c r="A683" s="116"/>
      <c r="B683" s="116"/>
      <c r="C683" s="12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5.6" x14ac:dyDescent="0.3">
      <c r="A684" s="116"/>
      <c r="B684" s="116"/>
      <c r="C684" s="12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5.6" x14ac:dyDescent="0.3">
      <c r="A685" s="116"/>
      <c r="B685" s="116"/>
      <c r="C685" s="12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5.6" x14ac:dyDescent="0.3">
      <c r="A686" s="116"/>
      <c r="B686" s="116"/>
      <c r="C686" s="12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5.6" x14ac:dyDescent="0.3">
      <c r="A687" s="116"/>
      <c r="B687" s="116"/>
      <c r="C687" s="12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5.6" x14ac:dyDescent="0.3">
      <c r="A688" s="116"/>
      <c r="B688" s="116"/>
      <c r="C688" s="12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5.6" x14ac:dyDescent="0.3">
      <c r="A689" s="116"/>
      <c r="B689" s="116"/>
      <c r="C689" s="12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5.6" x14ac:dyDescent="0.3">
      <c r="A690" s="116"/>
      <c r="B690" s="116"/>
      <c r="C690" s="12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5.6" x14ac:dyDescent="0.3">
      <c r="A691" s="116"/>
      <c r="B691" s="116"/>
      <c r="C691" s="12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5.6" x14ac:dyDescent="0.3">
      <c r="A692" s="116"/>
      <c r="B692" s="116"/>
      <c r="C692" s="12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5.6" x14ac:dyDescent="0.3">
      <c r="A693" s="116"/>
      <c r="B693" s="116"/>
      <c r="C693" s="12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5.6" x14ac:dyDescent="0.3">
      <c r="A694" s="116"/>
      <c r="B694" s="116"/>
      <c r="C694" s="12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5.6" x14ac:dyDescent="0.3">
      <c r="A695" s="116"/>
      <c r="B695" s="116"/>
      <c r="C695" s="12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5.6" x14ac:dyDescent="0.3">
      <c r="A696" s="116"/>
      <c r="B696" s="116"/>
      <c r="C696" s="12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5.6" x14ac:dyDescent="0.3">
      <c r="A697" s="116"/>
      <c r="B697" s="116"/>
      <c r="C697" s="12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5.6" x14ac:dyDescent="0.3">
      <c r="A698" s="116"/>
      <c r="B698" s="116"/>
      <c r="C698" s="12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5.6" x14ac:dyDescent="0.3">
      <c r="A699" s="116"/>
      <c r="B699" s="116"/>
      <c r="C699" s="12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5.6" x14ac:dyDescent="0.3">
      <c r="A700" s="116"/>
      <c r="B700" s="116"/>
      <c r="C700" s="12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5.6" x14ac:dyDescent="0.3">
      <c r="A701" s="116"/>
      <c r="B701" s="116"/>
      <c r="C701" s="12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5.6" x14ac:dyDescent="0.3">
      <c r="A702" s="116"/>
      <c r="B702" s="116"/>
      <c r="C702" s="12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5.6" x14ac:dyDescent="0.3">
      <c r="A703" s="116"/>
      <c r="B703" s="116"/>
      <c r="C703" s="12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5.6" x14ac:dyDescent="0.3">
      <c r="A704" s="116"/>
      <c r="B704" s="116"/>
      <c r="C704" s="12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5.6" x14ac:dyDescent="0.3">
      <c r="A705" s="116"/>
      <c r="B705" s="116"/>
      <c r="C705" s="12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5.6" x14ac:dyDescent="0.3">
      <c r="A706" s="116"/>
      <c r="B706" s="116"/>
      <c r="C706" s="12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5.6" x14ac:dyDescent="0.3">
      <c r="A707" s="116"/>
      <c r="B707" s="116"/>
      <c r="C707" s="12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5.6" x14ac:dyDescent="0.3">
      <c r="A708" s="116"/>
      <c r="B708" s="116"/>
      <c r="C708" s="12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5.6" x14ac:dyDescent="0.3">
      <c r="A709" s="116"/>
      <c r="B709" s="116"/>
      <c r="C709" s="12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5.6" x14ac:dyDescent="0.3">
      <c r="A710" s="116"/>
      <c r="B710" s="116"/>
      <c r="C710" s="12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5.6" x14ac:dyDescent="0.3">
      <c r="A711" s="116"/>
      <c r="B711" s="116"/>
      <c r="C711" s="12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5.6" x14ac:dyDescent="0.3">
      <c r="A712" s="116"/>
      <c r="B712" s="116"/>
      <c r="C712" s="12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5.6" x14ac:dyDescent="0.3">
      <c r="A713" s="116"/>
      <c r="B713" s="116"/>
      <c r="C713" s="12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5.6" x14ac:dyDescent="0.3">
      <c r="A714" s="116"/>
      <c r="B714" s="116"/>
      <c r="C714" s="12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5.6" x14ac:dyDescent="0.3">
      <c r="A715" s="116"/>
      <c r="B715" s="116"/>
      <c r="C715" s="12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5.6" x14ac:dyDescent="0.3">
      <c r="A716" s="116"/>
      <c r="B716" s="116"/>
      <c r="C716" s="12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5.6" x14ac:dyDescent="0.3">
      <c r="A717" s="116"/>
      <c r="B717" s="116"/>
      <c r="C717" s="12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5.6" x14ac:dyDescent="0.3">
      <c r="A718" s="116"/>
      <c r="B718" s="116"/>
      <c r="C718" s="12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5.6" x14ac:dyDescent="0.3">
      <c r="A719" s="116"/>
      <c r="B719" s="116"/>
      <c r="C719" s="12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5.6" x14ac:dyDescent="0.3">
      <c r="A720" s="116"/>
      <c r="B720" s="116"/>
      <c r="C720" s="12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5.6" x14ac:dyDescent="0.3">
      <c r="A721" s="116"/>
      <c r="B721" s="116"/>
      <c r="C721" s="12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5.6" x14ac:dyDescent="0.3">
      <c r="A722" s="116"/>
      <c r="B722" s="116"/>
      <c r="C722" s="12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5.6" x14ac:dyDescent="0.3">
      <c r="A723" s="116"/>
      <c r="B723" s="116"/>
      <c r="C723" s="12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5.6" x14ac:dyDescent="0.3">
      <c r="A724" s="116"/>
      <c r="B724" s="116"/>
      <c r="C724" s="12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5.6" x14ac:dyDescent="0.3">
      <c r="A725" s="116"/>
      <c r="B725" s="116"/>
      <c r="C725" s="12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5.6" x14ac:dyDescent="0.3">
      <c r="A726" s="116"/>
      <c r="B726" s="116"/>
      <c r="C726" s="12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5.6" x14ac:dyDescent="0.3">
      <c r="A727" s="116"/>
      <c r="B727" s="116"/>
      <c r="C727" s="12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5.6" x14ac:dyDescent="0.3">
      <c r="A728" s="116"/>
      <c r="B728" s="116"/>
      <c r="C728" s="12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5.6" x14ac:dyDescent="0.3">
      <c r="A729" s="116"/>
      <c r="B729" s="116"/>
      <c r="C729" s="12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5.6" x14ac:dyDescent="0.3">
      <c r="A730" s="116"/>
      <c r="B730" s="116"/>
      <c r="C730" s="12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5.6" x14ac:dyDescent="0.3">
      <c r="A731" s="116"/>
      <c r="B731" s="116"/>
      <c r="C731" s="12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5.6" x14ac:dyDescent="0.3">
      <c r="A732" s="116"/>
      <c r="B732" s="116"/>
      <c r="C732" s="12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5.6" x14ac:dyDescent="0.3">
      <c r="A733" s="116"/>
      <c r="B733" s="116"/>
      <c r="C733" s="12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5.6" x14ac:dyDescent="0.3">
      <c r="A734" s="116"/>
      <c r="B734" s="116"/>
      <c r="C734" s="12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5.6" x14ac:dyDescent="0.3">
      <c r="A735" s="116"/>
      <c r="B735" s="116"/>
      <c r="C735" s="12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5.6" x14ac:dyDescent="0.3">
      <c r="A736" s="116"/>
      <c r="B736" s="116"/>
      <c r="C736" s="12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5.6" x14ac:dyDescent="0.3">
      <c r="A737" s="116"/>
      <c r="B737" s="116"/>
      <c r="C737" s="12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5.6" x14ac:dyDescent="0.3">
      <c r="A738" s="116"/>
      <c r="B738" s="116"/>
      <c r="C738" s="12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5.6" x14ac:dyDescent="0.3">
      <c r="A739" s="116"/>
      <c r="B739" s="116"/>
      <c r="C739" s="12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5.6" x14ac:dyDescent="0.3">
      <c r="A740" s="116"/>
      <c r="B740" s="116"/>
      <c r="C740" s="12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5.6" x14ac:dyDescent="0.3">
      <c r="A741" s="116"/>
      <c r="B741" s="116"/>
      <c r="C741" s="12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5.6" x14ac:dyDescent="0.3">
      <c r="A742" s="116"/>
      <c r="B742" s="116"/>
      <c r="C742" s="12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5.6" x14ac:dyDescent="0.3">
      <c r="A743" s="116"/>
      <c r="B743" s="116"/>
      <c r="C743" s="12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5.6" x14ac:dyDescent="0.3">
      <c r="A744" s="116"/>
      <c r="B744" s="116"/>
      <c r="C744" s="12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5.6" x14ac:dyDescent="0.3">
      <c r="A745" s="116"/>
      <c r="B745" s="116"/>
      <c r="C745" s="12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5.6" x14ac:dyDescent="0.3">
      <c r="A746" s="116"/>
      <c r="B746" s="116"/>
      <c r="C746" s="12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5.6" x14ac:dyDescent="0.3">
      <c r="A747" s="116"/>
      <c r="B747" s="116"/>
      <c r="C747" s="12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5.6" x14ac:dyDescent="0.3">
      <c r="A748" s="116"/>
      <c r="B748" s="116"/>
      <c r="C748" s="12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5.6" x14ac:dyDescent="0.3">
      <c r="A749" s="116"/>
      <c r="B749" s="116"/>
      <c r="C749" s="12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5.6" x14ac:dyDescent="0.3">
      <c r="A750" s="116"/>
      <c r="B750" s="116"/>
      <c r="C750" s="12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5.6" x14ac:dyDescent="0.3">
      <c r="A751" s="116"/>
      <c r="B751" s="116"/>
      <c r="C751" s="12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5.6" x14ac:dyDescent="0.3">
      <c r="A752" s="116"/>
      <c r="B752" s="116"/>
      <c r="C752" s="12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5.6" x14ac:dyDescent="0.3">
      <c r="A753" s="116"/>
      <c r="B753" s="116"/>
      <c r="C753" s="12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5.6" x14ac:dyDescent="0.3">
      <c r="A754" s="116"/>
      <c r="B754" s="116"/>
      <c r="C754" s="12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5.6" x14ac:dyDescent="0.3">
      <c r="A755" s="116"/>
      <c r="B755" s="116"/>
      <c r="C755" s="12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5.6" x14ac:dyDescent="0.3">
      <c r="A756" s="116"/>
      <c r="B756" s="116"/>
      <c r="C756" s="12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5.6" x14ac:dyDescent="0.3">
      <c r="A757" s="116"/>
      <c r="B757" s="116"/>
      <c r="C757" s="12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5.6" x14ac:dyDescent="0.3">
      <c r="A758" s="116"/>
      <c r="B758" s="116"/>
      <c r="C758" s="12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5.6" x14ac:dyDescent="0.3">
      <c r="A759" s="116"/>
      <c r="B759" s="116"/>
      <c r="C759" s="12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5.6" x14ac:dyDescent="0.3">
      <c r="A760" s="116"/>
      <c r="B760" s="116"/>
      <c r="C760" s="12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5.6" x14ac:dyDescent="0.3">
      <c r="A761" s="116"/>
      <c r="B761" s="116"/>
      <c r="C761" s="12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5.6" x14ac:dyDescent="0.3">
      <c r="A762" s="116"/>
      <c r="B762" s="116"/>
      <c r="C762" s="12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5.6" x14ac:dyDescent="0.3">
      <c r="A763" s="116"/>
      <c r="B763" s="116"/>
      <c r="C763" s="12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5.6" x14ac:dyDescent="0.3">
      <c r="A764" s="116"/>
      <c r="B764" s="116"/>
      <c r="C764" s="12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5.6" x14ac:dyDescent="0.3">
      <c r="A765" s="116"/>
      <c r="B765" s="116"/>
      <c r="C765" s="12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5.6" x14ac:dyDescent="0.3">
      <c r="A766" s="116"/>
      <c r="B766" s="116"/>
      <c r="C766" s="12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5.6" x14ac:dyDescent="0.3">
      <c r="A767" s="116"/>
      <c r="B767" s="116"/>
      <c r="C767" s="12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5.6" x14ac:dyDescent="0.3">
      <c r="A768" s="116"/>
      <c r="B768" s="116"/>
      <c r="C768" s="12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5.6" x14ac:dyDescent="0.3">
      <c r="A769" s="116"/>
      <c r="B769" s="116"/>
      <c r="C769" s="12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5.6" x14ac:dyDescent="0.3">
      <c r="A770" s="116"/>
      <c r="B770" s="116"/>
      <c r="C770" s="12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5.6" x14ac:dyDescent="0.3">
      <c r="A771" s="116"/>
      <c r="B771" s="116"/>
      <c r="C771" s="12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5.6" x14ac:dyDescent="0.3">
      <c r="A772" s="116"/>
      <c r="B772" s="116"/>
      <c r="C772" s="12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5.6" x14ac:dyDescent="0.3">
      <c r="A773" s="116"/>
      <c r="B773" s="116"/>
      <c r="C773" s="12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5.6" x14ac:dyDescent="0.3">
      <c r="A774" s="116"/>
      <c r="B774" s="116"/>
      <c r="C774" s="12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5.6" x14ac:dyDescent="0.3">
      <c r="A775" s="116"/>
      <c r="B775" s="116"/>
      <c r="C775" s="12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5.6" x14ac:dyDescent="0.3">
      <c r="A776" s="116"/>
      <c r="B776" s="116"/>
      <c r="C776" s="12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5.6" x14ac:dyDescent="0.3">
      <c r="A777" s="116"/>
      <c r="B777" s="116"/>
      <c r="C777" s="12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5.6" x14ac:dyDescent="0.3">
      <c r="A778" s="116"/>
      <c r="B778" s="116"/>
      <c r="C778" s="12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5.6" x14ac:dyDescent="0.3">
      <c r="A779" s="116"/>
      <c r="B779" s="116"/>
      <c r="C779" s="12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5.6" x14ac:dyDescent="0.3">
      <c r="A780" s="116"/>
      <c r="B780" s="116"/>
      <c r="C780" s="12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5.6" x14ac:dyDescent="0.3">
      <c r="A781" s="116"/>
      <c r="B781" s="116"/>
      <c r="C781" s="12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5.6" x14ac:dyDescent="0.3">
      <c r="A782" s="116"/>
      <c r="B782" s="116"/>
      <c r="C782" s="12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5.6" x14ac:dyDescent="0.3">
      <c r="A783" s="116"/>
      <c r="B783" s="116"/>
      <c r="C783" s="12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5.6" x14ac:dyDescent="0.3">
      <c r="A784" s="116"/>
      <c r="B784" s="116"/>
      <c r="C784" s="12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5.6" x14ac:dyDescent="0.3">
      <c r="A785" s="116"/>
      <c r="B785" s="116"/>
      <c r="C785" s="12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5.6" x14ac:dyDescent="0.3">
      <c r="A786" s="116"/>
      <c r="B786" s="116"/>
      <c r="C786" s="12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5.6" x14ac:dyDescent="0.3">
      <c r="A787" s="116"/>
      <c r="B787" s="116"/>
      <c r="C787" s="12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5.6" x14ac:dyDescent="0.3">
      <c r="A788" s="116"/>
      <c r="B788" s="116"/>
      <c r="C788" s="12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5.6" x14ac:dyDescent="0.3">
      <c r="A789" s="116"/>
      <c r="B789" s="116"/>
      <c r="C789" s="12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5.6" x14ac:dyDescent="0.3">
      <c r="A790" s="116"/>
      <c r="B790" s="116"/>
      <c r="C790" s="12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5.6" x14ac:dyDescent="0.3">
      <c r="A791" s="116"/>
      <c r="B791" s="116"/>
      <c r="C791" s="12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5.6" x14ac:dyDescent="0.3">
      <c r="A792" s="116"/>
      <c r="B792" s="116"/>
      <c r="C792" s="12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5.6" x14ac:dyDescent="0.3">
      <c r="A793" s="116"/>
      <c r="B793" s="116"/>
      <c r="C793" s="12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5.6" x14ac:dyDescent="0.3">
      <c r="A794" s="116"/>
      <c r="B794" s="116"/>
      <c r="C794" s="12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5.6" x14ac:dyDescent="0.3">
      <c r="A795" s="116"/>
      <c r="B795" s="116"/>
      <c r="C795" s="12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5.6" x14ac:dyDescent="0.3">
      <c r="A796" s="116"/>
      <c r="B796" s="116"/>
      <c r="C796" s="12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5.6" x14ac:dyDescent="0.3">
      <c r="A797" s="116"/>
      <c r="B797" s="116"/>
      <c r="C797" s="12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5.6" x14ac:dyDescent="0.3">
      <c r="A798" s="116"/>
      <c r="B798" s="116"/>
      <c r="C798" s="12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5.6" x14ac:dyDescent="0.3">
      <c r="A799" s="116"/>
      <c r="B799" s="116"/>
      <c r="C799" s="12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5.6" x14ac:dyDescent="0.3">
      <c r="A800" s="116"/>
      <c r="B800" s="116"/>
      <c r="C800" s="12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5.6" x14ac:dyDescent="0.3">
      <c r="A801" s="116"/>
      <c r="B801" s="116"/>
      <c r="C801" s="12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5.6" x14ac:dyDescent="0.3">
      <c r="A802" s="116"/>
      <c r="B802" s="116"/>
      <c r="C802" s="12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5.6" x14ac:dyDescent="0.3">
      <c r="A803" s="116"/>
      <c r="B803" s="116"/>
      <c r="C803" s="12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5.6" x14ac:dyDescent="0.3">
      <c r="A804" s="116"/>
      <c r="B804" s="116"/>
      <c r="C804" s="12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5.6" x14ac:dyDescent="0.3">
      <c r="A805" s="116"/>
      <c r="B805" s="116"/>
      <c r="C805" s="12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5.6" x14ac:dyDescent="0.3">
      <c r="A806" s="116"/>
      <c r="B806" s="116"/>
      <c r="C806" s="12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5.6" x14ac:dyDescent="0.3">
      <c r="A807" s="116"/>
      <c r="B807" s="116"/>
      <c r="C807" s="12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5.6" x14ac:dyDescent="0.3">
      <c r="A808" s="116"/>
      <c r="B808" s="116"/>
      <c r="C808" s="12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5.6" x14ac:dyDescent="0.3">
      <c r="A809" s="116"/>
      <c r="B809" s="116"/>
      <c r="C809" s="12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5.6" x14ac:dyDescent="0.3">
      <c r="A810" s="116"/>
      <c r="B810" s="116"/>
      <c r="C810" s="12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5.6" x14ac:dyDescent="0.3">
      <c r="A811" s="116"/>
      <c r="B811" s="116"/>
      <c r="C811" s="12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5.6" x14ac:dyDescent="0.3">
      <c r="A812" s="116"/>
      <c r="B812" s="116"/>
      <c r="C812" s="12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5.6" x14ac:dyDescent="0.3">
      <c r="A813" s="116"/>
      <c r="B813" s="116"/>
      <c r="C813" s="12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5.6" x14ac:dyDescent="0.3">
      <c r="A814" s="116"/>
      <c r="B814" s="116"/>
      <c r="C814" s="12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5.6" x14ac:dyDescent="0.3">
      <c r="A815" s="116"/>
      <c r="B815" s="116"/>
      <c r="C815" s="12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5.6" x14ac:dyDescent="0.3">
      <c r="A816" s="116"/>
      <c r="B816" s="116"/>
      <c r="C816" s="12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5.6" x14ac:dyDescent="0.3">
      <c r="A817" s="116"/>
      <c r="B817" s="116"/>
      <c r="C817" s="12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5.6" x14ac:dyDescent="0.3">
      <c r="A818" s="116"/>
      <c r="B818" s="116"/>
      <c r="C818" s="12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5.6" x14ac:dyDescent="0.3">
      <c r="A819" s="116"/>
      <c r="B819" s="116"/>
      <c r="C819" s="12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5.6" x14ac:dyDescent="0.3">
      <c r="A820" s="116"/>
      <c r="B820" s="116"/>
      <c r="C820" s="12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5.6" x14ac:dyDescent="0.3">
      <c r="A821" s="116"/>
      <c r="B821" s="116"/>
      <c r="C821" s="12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5.6" x14ac:dyDescent="0.3">
      <c r="A822" s="116"/>
      <c r="B822" s="116"/>
      <c r="C822" s="12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5.6" x14ac:dyDescent="0.3">
      <c r="A823" s="116"/>
      <c r="B823" s="116"/>
      <c r="C823" s="12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5.6" x14ac:dyDescent="0.3">
      <c r="A824" s="116"/>
      <c r="B824" s="116"/>
      <c r="C824" s="12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5.6" x14ac:dyDescent="0.3">
      <c r="A825" s="116"/>
      <c r="B825" s="116"/>
      <c r="C825" s="12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5.6" x14ac:dyDescent="0.3">
      <c r="A826" s="116"/>
      <c r="B826" s="116"/>
      <c r="C826" s="12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5.6" x14ac:dyDescent="0.3">
      <c r="A827" s="116"/>
      <c r="B827" s="116"/>
      <c r="C827" s="12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5.6" x14ac:dyDescent="0.3">
      <c r="A828" s="116"/>
      <c r="B828" s="116"/>
      <c r="C828" s="12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5.6" x14ac:dyDescent="0.3">
      <c r="A829" s="116"/>
      <c r="B829" s="116"/>
      <c r="C829" s="12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5.6" x14ac:dyDescent="0.3">
      <c r="A830" s="116"/>
      <c r="B830" s="116"/>
      <c r="C830" s="12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5.6" x14ac:dyDescent="0.3">
      <c r="A831" s="116"/>
      <c r="B831" s="116"/>
      <c r="C831" s="12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5.6" x14ac:dyDescent="0.3">
      <c r="A832" s="116"/>
      <c r="B832" s="116"/>
      <c r="C832" s="12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5.6" x14ac:dyDescent="0.3">
      <c r="A833" s="116"/>
      <c r="B833" s="116"/>
      <c r="C833" s="12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5.6" x14ac:dyDescent="0.3">
      <c r="A834" s="116"/>
      <c r="B834" s="116"/>
      <c r="C834" s="12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5.6" x14ac:dyDescent="0.3">
      <c r="A835" s="116"/>
      <c r="B835" s="116"/>
      <c r="C835" s="12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5.6" x14ac:dyDescent="0.3">
      <c r="A836" s="116"/>
      <c r="B836" s="116"/>
      <c r="C836" s="12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5.6" x14ac:dyDescent="0.3">
      <c r="A837" s="116"/>
      <c r="B837" s="116"/>
      <c r="C837" s="12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5.6" x14ac:dyDescent="0.3">
      <c r="A838" s="116"/>
      <c r="B838" s="116"/>
      <c r="C838" s="12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5.6" x14ac:dyDescent="0.3">
      <c r="A839" s="116"/>
      <c r="B839" s="116"/>
      <c r="C839" s="12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5.6" x14ac:dyDescent="0.3">
      <c r="A840" s="116"/>
      <c r="B840" s="116"/>
      <c r="C840" s="12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5.6" x14ac:dyDescent="0.3">
      <c r="A841" s="116"/>
      <c r="B841" s="116"/>
      <c r="C841" s="12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5.6" x14ac:dyDescent="0.3">
      <c r="A842" s="116"/>
      <c r="B842" s="116"/>
      <c r="C842" s="12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5.6" x14ac:dyDescent="0.3">
      <c r="A843" s="116"/>
      <c r="B843" s="116"/>
      <c r="C843" s="12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5.6" x14ac:dyDescent="0.3">
      <c r="A844" s="116"/>
      <c r="B844" s="116"/>
      <c r="C844" s="12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5.6" x14ac:dyDescent="0.3">
      <c r="A845" s="116"/>
      <c r="B845" s="116"/>
      <c r="C845" s="12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5.6" x14ac:dyDescent="0.3">
      <c r="A846" s="116"/>
      <c r="B846" s="116"/>
      <c r="C846" s="12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5.6" x14ac:dyDescent="0.3">
      <c r="A847" s="116"/>
      <c r="B847" s="116"/>
      <c r="C847" s="12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5.6" x14ac:dyDescent="0.3">
      <c r="A848" s="116"/>
      <c r="B848" s="116"/>
      <c r="C848" s="12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5.6" x14ac:dyDescent="0.3">
      <c r="A849" s="116"/>
      <c r="B849" s="116"/>
      <c r="C849" s="12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5.6" x14ac:dyDescent="0.3">
      <c r="A850" s="116"/>
      <c r="B850" s="116"/>
      <c r="C850" s="12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5.6" x14ac:dyDescent="0.3">
      <c r="A851" s="116"/>
      <c r="B851" s="116"/>
      <c r="C851" s="12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5.6" x14ac:dyDescent="0.3">
      <c r="A852" s="116"/>
      <c r="B852" s="116"/>
      <c r="C852" s="12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5.6" x14ac:dyDescent="0.3">
      <c r="A853" s="116"/>
      <c r="B853" s="116"/>
      <c r="C853" s="12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5.6" x14ac:dyDescent="0.3">
      <c r="A854" s="116"/>
      <c r="B854" s="116"/>
      <c r="C854" s="12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5.6" x14ac:dyDescent="0.3">
      <c r="A855" s="116"/>
      <c r="B855" s="116"/>
      <c r="C855" s="12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5.6" x14ac:dyDescent="0.3">
      <c r="A856" s="116"/>
      <c r="B856" s="116"/>
      <c r="C856" s="12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5.6" x14ac:dyDescent="0.3">
      <c r="A857" s="116"/>
      <c r="B857" s="116"/>
      <c r="C857" s="12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5.6" x14ac:dyDescent="0.3">
      <c r="A858" s="116"/>
      <c r="B858" s="116"/>
      <c r="C858" s="12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5.6" x14ac:dyDescent="0.3">
      <c r="A859" s="116"/>
      <c r="B859" s="116"/>
      <c r="C859" s="12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5.6" x14ac:dyDescent="0.3">
      <c r="A860" s="116"/>
      <c r="B860" s="116"/>
      <c r="C860" s="12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5.6" x14ac:dyDescent="0.3">
      <c r="A861" s="116"/>
      <c r="B861" s="116"/>
      <c r="C861" s="12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5.6" x14ac:dyDescent="0.3">
      <c r="A862" s="116"/>
      <c r="B862" s="116"/>
      <c r="C862" s="12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5.6" x14ac:dyDescent="0.3">
      <c r="A863" s="116"/>
      <c r="B863" s="116"/>
      <c r="C863" s="12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5.6" x14ac:dyDescent="0.3">
      <c r="A864" s="116"/>
      <c r="B864" s="116"/>
      <c r="C864" s="12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5.6" x14ac:dyDescent="0.3">
      <c r="A865" s="116"/>
      <c r="B865" s="116"/>
      <c r="C865" s="12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5.6" x14ac:dyDescent="0.3">
      <c r="A866" s="116"/>
      <c r="B866" s="116"/>
      <c r="C866" s="12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5.6" x14ac:dyDescent="0.3">
      <c r="A867" s="116"/>
      <c r="B867" s="116"/>
      <c r="C867" s="12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5.6" x14ac:dyDescent="0.3">
      <c r="A868" s="116"/>
      <c r="B868" s="116"/>
      <c r="C868" s="12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5.6" x14ac:dyDescent="0.3">
      <c r="A869" s="116"/>
      <c r="B869" s="116"/>
      <c r="C869" s="12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5.6" x14ac:dyDescent="0.3">
      <c r="A870" s="116"/>
      <c r="B870" s="116"/>
      <c r="C870" s="12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5.6" x14ac:dyDescent="0.3">
      <c r="A871" s="116"/>
      <c r="B871" s="116"/>
      <c r="C871" s="12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5.6" x14ac:dyDescent="0.3">
      <c r="A872" s="116"/>
      <c r="B872" s="116"/>
      <c r="C872" s="12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5.6" x14ac:dyDescent="0.3">
      <c r="A873" s="116"/>
      <c r="B873" s="116"/>
      <c r="C873" s="12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5.6" x14ac:dyDescent="0.3">
      <c r="A874" s="116"/>
      <c r="B874" s="116"/>
      <c r="C874" s="12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5.6" x14ac:dyDescent="0.3">
      <c r="A875" s="116"/>
      <c r="B875" s="116"/>
      <c r="C875" s="12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5.6" x14ac:dyDescent="0.3">
      <c r="A876" s="116"/>
      <c r="B876" s="116"/>
      <c r="C876" s="12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5.6" x14ac:dyDescent="0.3">
      <c r="A877" s="116"/>
      <c r="B877" s="116"/>
      <c r="C877" s="12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5.6" x14ac:dyDescent="0.3">
      <c r="A878" s="116"/>
      <c r="B878" s="116"/>
      <c r="C878" s="12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5.6" x14ac:dyDescent="0.3">
      <c r="A879" s="116"/>
      <c r="B879" s="116"/>
      <c r="C879" s="12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5.6" x14ac:dyDescent="0.3">
      <c r="A880" s="116"/>
      <c r="B880" s="116"/>
      <c r="C880" s="12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5.6" x14ac:dyDescent="0.3">
      <c r="A881" s="116"/>
      <c r="B881" s="116"/>
      <c r="C881" s="12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5.6" x14ac:dyDescent="0.3">
      <c r="A882" s="116"/>
      <c r="B882" s="116"/>
      <c r="C882" s="12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5.6" x14ac:dyDescent="0.3">
      <c r="A883" s="116"/>
      <c r="B883" s="116"/>
      <c r="C883" s="12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5.6" x14ac:dyDescent="0.3">
      <c r="A884" s="116"/>
      <c r="B884" s="116"/>
      <c r="C884" s="12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5.6" x14ac:dyDescent="0.3">
      <c r="A885" s="116"/>
      <c r="B885" s="116"/>
      <c r="C885" s="12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5.6" x14ac:dyDescent="0.3">
      <c r="A886" s="116"/>
      <c r="B886" s="116"/>
      <c r="C886" s="12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5.6" x14ac:dyDescent="0.3">
      <c r="A887" s="116"/>
      <c r="B887" s="116"/>
      <c r="C887" s="12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5.6" x14ac:dyDescent="0.3">
      <c r="A888" s="116"/>
      <c r="B888" s="116"/>
      <c r="C888" s="12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5.6" x14ac:dyDescent="0.3">
      <c r="A889" s="116"/>
      <c r="B889" s="116"/>
      <c r="C889" s="12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5.6" x14ac:dyDescent="0.3">
      <c r="A890" s="116"/>
      <c r="B890" s="116"/>
      <c r="C890" s="12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5.6" x14ac:dyDescent="0.3">
      <c r="A891" s="116"/>
      <c r="B891" s="116"/>
      <c r="C891" s="12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5.6" x14ac:dyDescent="0.3">
      <c r="A892" s="116"/>
      <c r="B892" s="116"/>
      <c r="C892" s="12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5.6" x14ac:dyDescent="0.3">
      <c r="A893" s="116"/>
      <c r="B893" s="116"/>
      <c r="C893" s="12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5.6" x14ac:dyDescent="0.3">
      <c r="A894" s="116"/>
      <c r="B894" s="116"/>
      <c r="C894" s="12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5.6" x14ac:dyDescent="0.3">
      <c r="A895" s="116"/>
      <c r="B895" s="116"/>
      <c r="C895" s="12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5.6" x14ac:dyDescent="0.3">
      <c r="A896" s="116"/>
      <c r="B896" s="116"/>
      <c r="C896" s="12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5.6" x14ac:dyDescent="0.3">
      <c r="A897" s="116"/>
      <c r="B897" s="116"/>
      <c r="C897" s="12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5.6" x14ac:dyDescent="0.3">
      <c r="A898" s="116"/>
      <c r="B898" s="116"/>
      <c r="C898" s="12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5.6" x14ac:dyDescent="0.3">
      <c r="A899" s="116"/>
      <c r="B899" s="116"/>
      <c r="C899" s="12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5.6" x14ac:dyDescent="0.3">
      <c r="A900" s="116"/>
      <c r="B900" s="116"/>
      <c r="C900" s="12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5.6" x14ac:dyDescent="0.3">
      <c r="A901" s="116"/>
      <c r="B901" s="116"/>
      <c r="C901" s="12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5.6" x14ac:dyDescent="0.3">
      <c r="A902" s="116"/>
      <c r="B902" s="116"/>
      <c r="C902" s="12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5.6" x14ac:dyDescent="0.3">
      <c r="A903" s="116"/>
      <c r="B903" s="116"/>
      <c r="C903" s="12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5.6" x14ac:dyDescent="0.3">
      <c r="A904" s="116"/>
      <c r="B904" s="116"/>
      <c r="C904" s="12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5.6" x14ac:dyDescent="0.3">
      <c r="A905" s="116"/>
      <c r="B905" s="116"/>
      <c r="C905" s="12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5.6" x14ac:dyDescent="0.3">
      <c r="A906" s="116"/>
      <c r="B906" s="116"/>
      <c r="C906" s="12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5.6" x14ac:dyDescent="0.3">
      <c r="A907" s="116"/>
      <c r="B907" s="116"/>
      <c r="C907" s="12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5.6" x14ac:dyDescent="0.3">
      <c r="A908" s="116"/>
      <c r="B908" s="116"/>
      <c r="C908" s="12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5.6" x14ac:dyDescent="0.3">
      <c r="A909" s="116"/>
      <c r="B909" s="116"/>
      <c r="C909" s="12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5.6" x14ac:dyDescent="0.3">
      <c r="A910" s="116"/>
      <c r="B910" s="116"/>
      <c r="C910" s="12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5.6" x14ac:dyDescent="0.3">
      <c r="A911" s="116"/>
      <c r="B911" s="116"/>
      <c r="C911" s="12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5.6" x14ac:dyDescent="0.3">
      <c r="A912" s="116"/>
      <c r="B912" s="116"/>
      <c r="C912" s="12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5.6" x14ac:dyDescent="0.3">
      <c r="A913" s="116"/>
      <c r="B913" s="116"/>
      <c r="C913" s="12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5.6" x14ac:dyDescent="0.3">
      <c r="A914" s="116"/>
      <c r="B914" s="116"/>
      <c r="C914" s="12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5.6" x14ac:dyDescent="0.3">
      <c r="A915" s="116"/>
      <c r="B915" s="116"/>
      <c r="C915" s="12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5.6" x14ac:dyDescent="0.3">
      <c r="A916" s="116"/>
      <c r="B916" s="116"/>
      <c r="C916" s="12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5.6" x14ac:dyDescent="0.3">
      <c r="A917" s="116"/>
      <c r="B917" s="116"/>
      <c r="C917" s="12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5.6" x14ac:dyDescent="0.3">
      <c r="A918" s="116"/>
      <c r="B918" s="116"/>
      <c r="C918" s="12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5.6" x14ac:dyDescent="0.3">
      <c r="A919" s="116"/>
      <c r="B919" s="116"/>
      <c r="C919" s="12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5.6" x14ac:dyDescent="0.3">
      <c r="A920" s="116"/>
      <c r="B920" s="116"/>
      <c r="C920" s="12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5.6" x14ac:dyDescent="0.3">
      <c r="A921" s="116"/>
      <c r="B921" s="116"/>
      <c r="C921" s="12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5.6" x14ac:dyDescent="0.3">
      <c r="A922" s="116"/>
      <c r="B922" s="116"/>
      <c r="C922" s="12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5.6" x14ac:dyDescent="0.3">
      <c r="A923" s="116"/>
      <c r="B923" s="116"/>
      <c r="C923" s="12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5.6" x14ac:dyDescent="0.3">
      <c r="A924" s="116"/>
      <c r="B924" s="116"/>
      <c r="C924" s="12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5.6" x14ac:dyDescent="0.3">
      <c r="A925" s="116"/>
      <c r="B925" s="116"/>
      <c r="C925" s="12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5.6" x14ac:dyDescent="0.3">
      <c r="A926" s="116"/>
      <c r="B926" s="116"/>
      <c r="C926" s="12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5.6" x14ac:dyDescent="0.3">
      <c r="A927" s="116"/>
      <c r="B927" s="116"/>
      <c r="C927" s="12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5.6" x14ac:dyDescent="0.3">
      <c r="A928" s="116"/>
      <c r="B928" s="116"/>
      <c r="C928" s="12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5.6" x14ac:dyDescent="0.3">
      <c r="A929" s="116"/>
      <c r="B929" s="116"/>
      <c r="C929" s="12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5.6" x14ac:dyDescent="0.3">
      <c r="A930" s="116"/>
      <c r="B930" s="116"/>
      <c r="C930" s="12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5.6" x14ac:dyDescent="0.3">
      <c r="A931" s="116"/>
      <c r="B931" s="116"/>
      <c r="C931" s="12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5.6" x14ac:dyDescent="0.3">
      <c r="A932" s="116"/>
      <c r="B932" s="116"/>
      <c r="C932" s="12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5.6" x14ac:dyDescent="0.3">
      <c r="A933" s="116"/>
      <c r="B933" s="116"/>
      <c r="C933" s="12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5.6" x14ac:dyDescent="0.3">
      <c r="A934" s="116"/>
      <c r="B934" s="116"/>
      <c r="C934" s="12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5.6" x14ac:dyDescent="0.3">
      <c r="A935" s="116"/>
      <c r="B935" s="116"/>
      <c r="C935" s="12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5.6" x14ac:dyDescent="0.3">
      <c r="A936" s="116"/>
      <c r="B936" s="116"/>
      <c r="C936" s="12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5.6" x14ac:dyDescent="0.3">
      <c r="A937" s="116"/>
      <c r="B937" s="116"/>
      <c r="C937" s="12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5.6" x14ac:dyDescent="0.3">
      <c r="A938" s="116"/>
      <c r="B938" s="116"/>
      <c r="C938" s="12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5.6" x14ac:dyDescent="0.3">
      <c r="A939" s="116"/>
      <c r="B939" s="116"/>
      <c r="C939" s="12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5.6" x14ac:dyDescent="0.3">
      <c r="A940" s="116"/>
      <c r="B940" s="116"/>
      <c r="C940" s="12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5.6" x14ac:dyDescent="0.3">
      <c r="A941" s="116"/>
      <c r="B941" s="116"/>
      <c r="C941" s="12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5.6" x14ac:dyDescent="0.3">
      <c r="A942" s="116"/>
      <c r="B942" s="116"/>
      <c r="C942" s="12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5.6" x14ac:dyDescent="0.3">
      <c r="A943" s="116"/>
      <c r="B943" s="116"/>
      <c r="C943" s="12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5.6" x14ac:dyDescent="0.3">
      <c r="A944" s="116"/>
      <c r="B944" s="116"/>
      <c r="C944" s="12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5.6" x14ac:dyDescent="0.3">
      <c r="A945" s="116"/>
      <c r="B945" s="116"/>
      <c r="C945" s="12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5.6" x14ac:dyDescent="0.3">
      <c r="A946" s="116"/>
      <c r="B946" s="116"/>
      <c r="C946" s="12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5.6" x14ac:dyDescent="0.3">
      <c r="A947" s="116"/>
      <c r="B947" s="116"/>
      <c r="C947" s="12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5.6" x14ac:dyDescent="0.3">
      <c r="A948" s="116"/>
      <c r="B948" s="116"/>
      <c r="C948" s="12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5.6" x14ac:dyDescent="0.3">
      <c r="A949" s="116"/>
      <c r="B949" s="116"/>
      <c r="C949" s="12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5.6" x14ac:dyDescent="0.3">
      <c r="A950" s="116"/>
      <c r="B950" s="116"/>
      <c r="C950" s="12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5.6" x14ac:dyDescent="0.3">
      <c r="A951" s="116"/>
      <c r="B951" s="116"/>
      <c r="C951" s="12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5.6" x14ac:dyDescent="0.3">
      <c r="A952" s="116"/>
      <c r="B952" s="116"/>
      <c r="C952" s="12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5.6" x14ac:dyDescent="0.3">
      <c r="A953" s="116"/>
      <c r="B953" s="116"/>
      <c r="C953" s="12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5.6" x14ac:dyDescent="0.3">
      <c r="A954" s="116"/>
      <c r="B954" s="116"/>
      <c r="C954" s="12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5.6" x14ac:dyDescent="0.3">
      <c r="A955" s="116"/>
      <c r="B955" s="116"/>
      <c r="C955" s="12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5.6" x14ac:dyDescent="0.3">
      <c r="A956" s="116"/>
      <c r="B956" s="116"/>
      <c r="C956" s="12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5.6" x14ac:dyDescent="0.3">
      <c r="A957" s="116"/>
      <c r="B957" s="116"/>
      <c r="C957" s="12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5.6" x14ac:dyDescent="0.3">
      <c r="A958" s="116"/>
      <c r="B958" s="116"/>
      <c r="C958" s="12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5.6" x14ac:dyDescent="0.3">
      <c r="A959" s="116"/>
      <c r="B959" s="116"/>
      <c r="C959" s="12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5.6" x14ac:dyDescent="0.3">
      <c r="A960" s="116"/>
      <c r="B960" s="116"/>
      <c r="C960" s="12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5.6" x14ac:dyDescent="0.3">
      <c r="A961" s="116"/>
      <c r="B961" s="116"/>
      <c r="C961" s="12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5.6" x14ac:dyDescent="0.3">
      <c r="A962" s="116"/>
      <c r="B962" s="116"/>
      <c r="C962" s="12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5.6" x14ac:dyDescent="0.3">
      <c r="A963" s="116"/>
      <c r="B963" s="116"/>
      <c r="C963" s="12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5.6" x14ac:dyDescent="0.3">
      <c r="A964" s="116"/>
      <c r="B964" s="116"/>
      <c r="C964" s="12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5.6" x14ac:dyDescent="0.3">
      <c r="A965" s="116"/>
      <c r="B965" s="116"/>
      <c r="C965" s="12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5.6" x14ac:dyDescent="0.3">
      <c r="A966" s="116"/>
      <c r="B966" s="116"/>
      <c r="C966" s="12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5.6" x14ac:dyDescent="0.3">
      <c r="A967" s="116"/>
      <c r="B967" s="116"/>
      <c r="C967" s="12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5.6" x14ac:dyDescent="0.3">
      <c r="A968" s="116"/>
      <c r="B968" s="116"/>
      <c r="C968" s="12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5.6" x14ac:dyDescent="0.3">
      <c r="A969" s="116"/>
      <c r="B969" s="116"/>
      <c r="C969" s="12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5.6" x14ac:dyDescent="0.3">
      <c r="A970" s="116"/>
      <c r="B970" s="116"/>
      <c r="C970" s="12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5.6" x14ac:dyDescent="0.3">
      <c r="A971" s="116"/>
      <c r="B971" s="116"/>
      <c r="C971" s="12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5.6" x14ac:dyDescent="0.3">
      <c r="A972" s="116"/>
      <c r="B972" s="116"/>
      <c r="C972" s="12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5.6" x14ac:dyDescent="0.3">
      <c r="A973" s="116"/>
      <c r="B973" s="116"/>
      <c r="C973" s="12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5.6" x14ac:dyDescent="0.3">
      <c r="A974" s="116"/>
      <c r="B974" s="116"/>
      <c r="C974" s="12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5.6" x14ac:dyDescent="0.3">
      <c r="A975" s="116"/>
      <c r="B975" s="116"/>
      <c r="C975" s="12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5.6" x14ac:dyDescent="0.3">
      <c r="A976" s="116"/>
      <c r="B976" s="116"/>
      <c r="C976" s="12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5.6" x14ac:dyDescent="0.3">
      <c r="A977" s="116"/>
      <c r="B977" s="116"/>
      <c r="C977" s="12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5.6" x14ac:dyDescent="0.3">
      <c r="A978" s="116"/>
      <c r="B978" s="116"/>
      <c r="C978" s="12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5.6" x14ac:dyDescent="0.3">
      <c r="A979" s="116"/>
      <c r="B979" s="116"/>
      <c r="C979" s="12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5.6" x14ac:dyDescent="0.3">
      <c r="A980" s="116"/>
      <c r="B980" s="116"/>
      <c r="C980" s="12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5.6" x14ac:dyDescent="0.3">
      <c r="A981" s="116"/>
      <c r="B981" s="116"/>
      <c r="C981" s="12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5.6" x14ac:dyDescent="0.3">
      <c r="A982" s="116"/>
      <c r="B982" s="116"/>
      <c r="C982" s="12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5.6" x14ac:dyDescent="0.3">
      <c r="A983" s="116"/>
      <c r="B983" s="116"/>
      <c r="C983" s="12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5.6" x14ac:dyDescent="0.3">
      <c r="A984" s="116"/>
      <c r="B984" s="116"/>
      <c r="C984" s="12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5.6" x14ac:dyDescent="0.3">
      <c r="A985" s="116"/>
      <c r="B985" s="116"/>
      <c r="C985" s="12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5.6" x14ac:dyDescent="0.3">
      <c r="A986" s="116"/>
      <c r="B986" s="116"/>
      <c r="C986" s="12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5.6" x14ac:dyDescent="0.3">
      <c r="A987" s="116"/>
      <c r="B987" s="116"/>
      <c r="C987" s="12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5.6" x14ac:dyDescent="0.3">
      <c r="A988" s="116"/>
      <c r="B988" s="116"/>
      <c r="C988" s="12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5.6" x14ac:dyDescent="0.3">
      <c r="A989" s="116"/>
      <c r="B989" s="116"/>
      <c r="C989" s="12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5.6" x14ac:dyDescent="0.3">
      <c r="A990" s="116"/>
      <c r="B990" s="116"/>
      <c r="C990" s="12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5.6" x14ac:dyDescent="0.3">
      <c r="A991" s="116"/>
      <c r="B991" s="116"/>
      <c r="C991" s="12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5.6" x14ac:dyDescent="0.3">
      <c r="A992" s="116"/>
      <c r="B992" s="116"/>
      <c r="C992" s="12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5.6" x14ac:dyDescent="0.3">
      <c r="A993" s="116"/>
      <c r="B993" s="116"/>
      <c r="C993" s="12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5.6" x14ac:dyDescent="0.3">
      <c r="A994" s="116"/>
      <c r="B994" s="116"/>
      <c r="C994" s="12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5.6" x14ac:dyDescent="0.3">
      <c r="A995" s="116"/>
      <c r="B995" s="116"/>
      <c r="C995" s="12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5.6" x14ac:dyDescent="0.3">
      <c r="A996" s="116"/>
      <c r="B996" s="116"/>
      <c r="C996" s="12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5.6" x14ac:dyDescent="0.3">
      <c r="A997" s="116"/>
      <c r="B997" s="116"/>
      <c r="C997" s="12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5.6" x14ac:dyDescent="0.3">
      <c r="A998" s="116"/>
      <c r="B998" s="116"/>
      <c r="C998" s="12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5.6" x14ac:dyDescent="0.3">
      <c r="A999" s="116"/>
      <c r="B999" s="116"/>
      <c r="C999" s="12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5.6" x14ac:dyDescent="0.3">
      <c r="A1000" s="116"/>
      <c r="B1000" s="116"/>
      <c r="C1000" s="12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mergeCells count="2">
    <mergeCell ref="D1:H1"/>
    <mergeCell ref="I1:M1"/>
  </mergeCells>
  <conditionalFormatting sqref="D3:M3">
    <cfRule type="containsText" dxfId="1" priority="1" operator="containsText" text="OK">
      <formula>NOT(ISERROR(SEARCH(("OK"),(D3))))</formula>
    </cfRule>
    <cfRule type="containsText" dxfId="0" priority="2" operator="containsText" text="ERROR">
      <formula>NOT(ISERROR(SEARCH(("ERROR"),(D3))))</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E761-C4C7-4689-B29F-2CEA321F351A}">
  <dimension ref="A1:G39"/>
  <sheetViews>
    <sheetView workbookViewId="0">
      <selection activeCell="J28" sqref="J28"/>
    </sheetView>
  </sheetViews>
  <sheetFormatPr defaultRowHeight="14.4" x14ac:dyDescent="0.3"/>
  <cols>
    <col min="2" max="2" width="24.6640625" bestFit="1" customWidth="1"/>
    <col min="3" max="3" width="10.21875" bestFit="1" customWidth="1"/>
    <col min="4" max="4" width="13.44140625" bestFit="1" customWidth="1"/>
    <col min="5" max="5" width="9.109375" bestFit="1" customWidth="1"/>
    <col min="6" max="6" width="7.109375" bestFit="1" customWidth="1"/>
  </cols>
  <sheetData>
    <row r="1" spans="1:7" ht="17.399999999999999" customHeight="1" x14ac:dyDescent="0.3">
      <c r="A1" s="242" t="s">
        <v>103</v>
      </c>
      <c r="B1" s="242"/>
      <c r="C1" s="242"/>
      <c r="D1" s="242"/>
      <c r="E1" s="242"/>
      <c r="F1" s="242"/>
      <c r="G1" s="242"/>
    </row>
    <row r="2" spans="1:7" ht="15" x14ac:dyDescent="0.35">
      <c r="A2" s="68"/>
      <c r="B2" s="246" t="s">
        <v>80</v>
      </c>
      <c r="C2" s="246"/>
      <c r="D2" s="246"/>
      <c r="E2" s="246"/>
      <c r="F2" s="246"/>
      <c r="G2" s="246"/>
    </row>
    <row r="3" spans="1:7" ht="15" x14ac:dyDescent="0.35">
      <c r="A3" s="68"/>
      <c r="B3" s="179">
        <f>'Apple DCF Model'!D36</f>
        <v>236.72634287185238</v>
      </c>
      <c r="C3" s="169">
        <v>0.02</v>
      </c>
      <c r="D3" s="169">
        <f>C3+0.005</f>
        <v>2.5000000000000001E-2</v>
      </c>
      <c r="E3" s="169">
        <f t="shared" ref="E3:G3" si="0">D3+0.005</f>
        <v>3.0000000000000002E-2</v>
      </c>
      <c r="F3" s="169">
        <f t="shared" si="0"/>
        <v>3.5000000000000003E-2</v>
      </c>
      <c r="G3" s="169">
        <f t="shared" si="0"/>
        <v>0.04</v>
      </c>
    </row>
    <row r="4" spans="1:7" ht="15" x14ac:dyDescent="0.35">
      <c r="A4" s="68"/>
      <c r="B4" s="179" t="s">
        <v>41</v>
      </c>
      <c r="C4" s="169"/>
      <c r="D4" s="169"/>
      <c r="E4" s="169"/>
      <c r="F4" s="169"/>
      <c r="G4" s="169"/>
    </row>
    <row r="5" spans="1:7" ht="15" x14ac:dyDescent="0.35">
      <c r="A5" s="68"/>
      <c r="B5" s="168">
        <v>7.0000000000000007E-2</v>
      </c>
      <c r="C5" s="180">
        <v>209.73326497223405</v>
      </c>
      <c r="D5" s="181">
        <v>217.97499134712484</v>
      </c>
      <c r="E5" s="180">
        <v>228.27714931573828</v>
      </c>
      <c r="F5" s="182">
        <v>241.52278098967</v>
      </c>
      <c r="G5" s="180">
        <v>259.18362322157861</v>
      </c>
    </row>
    <row r="6" spans="1:7" ht="15" x14ac:dyDescent="0.35">
      <c r="A6" s="68"/>
      <c r="B6" s="168">
        <f>0.07+0.01</f>
        <v>0.08</v>
      </c>
      <c r="C6" s="183">
        <v>189.5107755966707</v>
      </c>
      <c r="D6" s="184">
        <v>194.92488289994023</v>
      </c>
      <c r="E6" s="183">
        <v>201.42181166386368</v>
      </c>
      <c r="F6" s="185">
        <v>209.36250237532565</v>
      </c>
      <c r="G6" s="180">
        <v>219.28836576465315</v>
      </c>
    </row>
    <row r="7" spans="1:7" ht="15" x14ac:dyDescent="0.35">
      <c r="A7" s="68"/>
      <c r="B7" s="168">
        <f>0.07+0.02</f>
        <v>9.0000000000000011E-2</v>
      </c>
      <c r="C7" s="180">
        <v>173.84485411517471</v>
      </c>
      <c r="D7" s="181">
        <v>177.62944058407868</v>
      </c>
      <c r="E7" s="180">
        <v>182.04479146446673</v>
      </c>
      <c r="F7" s="182">
        <v>187.26293341401617</v>
      </c>
      <c r="G7" s="180">
        <v>193.52470375347553</v>
      </c>
    </row>
    <row r="8" spans="1:7" ht="15" x14ac:dyDescent="0.35">
      <c r="A8" s="68"/>
      <c r="B8" s="168">
        <f>0.07+0.03</f>
        <v>0.1</v>
      </c>
      <c r="C8" s="183">
        <v>161.11418865975344</v>
      </c>
      <c r="D8" s="184">
        <v>163.88121841721158</v>
      </c>
      <c r="E8" s="183">
        <v>167.04353814002093</v>
      </c>
      <c r="F8" s="185">
        <v>170.69236858941628</v>
      </c>
      <c r="G8" s="180">
        <v>174.94933744704417</v>
      </c>
    </row>
    <row r="9" spans="1:7" ht="15" x14ac:dyDescent="0.35">
      <c r="A9" s="68"/>
      <c r="B9" s="168">
        <f>0.07+0.04</f>
        <v>0.11000000000000001</v>
      </c>
      <c r="C9" s="180">
        <v>150.41157913848508</v>
      </c>
      <c r="D9" s="181">
        <v>152.50464295713167</v>
      </c>
      <c r="E9" s="180">
        <v>154.85933975310905</v>
      </c>
      <c r="F9" s="182">
        <v>157.52799612188343</v>
      </c>
      <c r="G9" s="180">
        <v>160.57788911476851</v>
      </c>
    </row>
    <row r="10" spans="1:7" ht="15" x14ac:dyDescent="0.35">
      <c r="A10" s="68"/>
      <c r="B10" s="105"/>
      <c r="C10" s="106"/>
      <c r="D10" s="107"/>
      <c r="E10" s="106"/>
      <c r="F10" s="108"/>
      <c r="G10" s="68"/>
    </row>
    <row r="11" spans="1:7" ht="15" x14ac:dyDescent="0.35">
      <c r="A11" s="68"/>
      <c r="B11" s="105"/>
      <c r="C11" s="106"/>
      <c r="D11" s="107"/>
      <c r="E11" s="106"/>
      <c r="F11" s="108"/>
      <c r="G11" s="68"/>
    </row>
    <row r="12" spans="1:7" ht="15" x14ac:dyDescent="0.35">
      <c r="A12" s="68"/>
      <c r="B12" s="193"/>
      <c r="C12" s="106"/>
      <c r="D12" s="198"/>
      <c r="E12" s="106"/>
      <c r="F12" s="199"/>
      <c r="G12" s="68"/>
    </row>
    <row r="13" spans="1:7" ht="15" x14ac:dyDescent="0.35">
      <c r="A13" s="243" t="s">
        <v>104</v>
      </c>
      <c r="B13" s="243"/>
      <c r="C13" s="243"/>
      <c r="D13" s="243"/>
      <c r="E13" s="243"/>
      <c r="F13" s="243"/>
      <c r="G13" s="243"/>
    </row>
    <row r="14" spans="1:7" ht="15" x14ac:dyDescent="0.35">
      <c r="A14" s="247"/>
      <c r="B14" s="247"/>
      <c r="C14" s="247"/>
      <c r="D14" s="247"/>
      <c r="E14" s="247"/>
      <c r="F14" s="247"/>
      <c r="G14" s="247"/>
    </row>
    <row r="15" spans="1:7" ht="15" x14ac:dyDescent="0.35">
      <c r="A15" s="68"/>
      <c r="B15" s="246" t="s">
        <v>80</v>
      </c>
      <c r="C15" s="246"/>
      <c r="D15" s="246"/>
      <c r="E15" s="246"/>
      <c r="F15" s="246"/>
      <c r="G15" s="246"/>
    </row>
    <row r="16" spans="1:7" ht="15" x14ac:dyDescent="0.35">
      <c r="A16" s="68"/>
      <c r="B16" s="208">
        <f>'Microsoft DCF Model'!D36</f>
        <v>414.03185394114746</v>
      </c>
      <c r="C16" s="248">
        <v>0.02</v>
      </c>
      <c r="D16" s="248">
        <v>2.5000000000000001E-2</v>
      </c>
      <c r="E16" s="248">
        <v>0.03</v>
      </c>
      <c r="F16" s="248">
        <v>3.5000000000000003E-2</v>
      </c>
      <c r="G16" s="249">
        <v>0.04</v>
      </c>
    </row>
    <row r="17" spans="1:7" ht="15" x14ac:dyDescent="0.35">
      <c r="A17" s="68"/>
      <c r="B17" s="179" t="s">
        <v>41</v>
      </c>
      <c r="C17" s="169"/>
      <c r="D17" s="169"/>
      <c r="E17" s="169"/>
      <c r="F17" s="169"/>
      <c r="G17" s="245"/>
    </row>
    <row r="18" spans="1:7" ht="15" x14ac:dyDescent="0.35">
      <c r="A18" s="68"/>
      <c r="B18" s="168">
        <v>7.0000000000000007E-2</v>
      </c>
      <c r="C18" s="209">
        <v>490.52004576176205</v>
      </c>
      <c r="D18" s="210">
        <v>510.33506114029558</v>
      </c>
      <c r="E18" s="209">
        <v>535.10383036346229</v>
      </c>
      <c r="F18" s="211">
        <v>566.94939079324831</v>
      </c>
      <c r="G18" s="209">
        <v>609.41013803296266</v>
      </c>
    </row>
    <row r="19" spans="1:7" ht="15" x14ac:dyDescent="0.35">
      <c r="B19" s="168">
        <f>B18+0.01</f>
        <v>0.08</v>
      </c>
      <c r="C19" s="212">
        <v>442.25709026048207</v>
      </c>
      <c r="D19" s="213">
        <v>455.2738557529832</v>
      </c>
      <c r="E19" s="212">
        <v>470.89397434398484</v>
      </c>
      <c r="F19" s="214">
        <v>489.98523039965335</v>
      </c>
      <c r="G19" s="212">
        <v>513.8493004692391</v>
      </c>
    </row>
    <row r="20" spans="1:7" ht="15" x14ac:dyDescent="0.35">
      <c r="B20" s="168">
        <f t="shared" ref="B20:B22" si="1">B19+0.01</f>
        <v>0.09</v>
      </c>
      <c r="C20" s="209">
        <v>404.93283321762618</v>
      </c>
      <c r="D20" s="210">
        <v>414.03185394114746</v>
      </c>
      <c r="E20" s="209">
        <v>424.64737811858885</v>
      </c>
      <c r="F20" s="211">
        <v>437.19299760101961</v>
      </c>
      <c r="G20" s="209">
        <v>452.24774097993651</v>
      </c>
    </row>
    <row r="21" spans="1:7" ht="15" x14ac:dyDescent="0.35">
      <c r="B21" s="168">
        <f t="shared" si="1"/>
        <v>9.9999999999999992E-2</v>
      </c>
      <c r="C21" s="212">
        <v>374.65021487134737</v>
      </c>
      <c r="D21" s="213">
        <v>381.30279404018921</v>
      </c>
      <c r="E21" s="212">
        <v>388.90574166172274</v>
      </c>
      <c r="F21" s="214">
        <v>397.6783735327229</v>
      </c>
      <c r="G21" s="212">
        <v>407.91311071555657</v>
      </c>
    </row>
    <row r="22" spans="1:7" ht="15" x14ac:dyDescent="0.35">
      <c r="B22" s="168">
        <f t="shared" si="1"/>
        <v>0.10999999999999999</v>
      </c>
      <c r="C22" s="209">
        <v>349.22900071386005</v>
      </c>
      <c r="D22" s="210">
        <v>354.26120997053823</v>
      </c>
      <c r="E22" s="209">
        <v>359.92244538430123</v>
      </c>
      <c r="F22" s="211">
        <v>366.33851218656594</v>
      </c>
      <c r="G22" s="209">
        <v>373.67115996058271</v>
      </c>
    </row>
    <row r="24" spans="1:7" ht="17.399999999999999" x14ac:dyDescent="0.4">
      <c r="A24" s="200"/>
      <c r="B24" s="201"/>
      <c r="C24" s="201"/>
      <c r="D24" s="202"/>
      <c r="E24" s="202"/>
      <c r="F24" s="202"/>
      <c r="G24" s="202"/>
    </row>
    <row r="25" spans="1:7" ht="15" x14ac:dyDescent="0.3">
      <c r="A25" s="235"/>
      <c r="B25" s="235"/>
      <c r="C25" s="235"/>
      <c r="D25" s="235"/>
      <c r="E25" s="235"/>
      <c r="F25" s="235"/>
      <c r="G25" s="235"/>
    </row>
    <row r="26" spans="1:7" ht="15" x14ac:dyDescent="0.35">
      <c r="A26" s="68"/>
      <c r="B26" s="68"/>
      <c r="C26" s="68"/>
      <c r="D26" s="68"/>
      <c r="E26" s="68"/>
      <c r="F26" s="68"/>
      <c r="G26" s="68"/>
    </row>
    <row r="27" spans="1:7" ht="15" x14ac:dyDescent="0.35">
      <c r="A27" s="68"/>
      <c r="B27" s="203"/>
      <c r="C27" s="192"/>
      <c r="D27" s="192"/>
      <c r="E27" s="192"/>
      <c r="F27" s="192"/>
      <c r="G27" s="204"/>
    </row>
    <row r="28" spans="1:7" ht="15" x14ac:dyDescent="0.35">
      <c r="A28" s="68"/>
      <c r="B28" s="205"/>
      <c r="C28" s="106"/>
      <c r="D28" s="206"/>
      <c r="E28" s="106"/>
      <c r="F28" s="207"/>
      <c r="G28" s="68"/>
    </row>
    <row r="29" spans="1:7" ht="15" x14ac:dyDescent="0.35">
      <c r="A29" s="68"/>
      <c r="B29" s="205"/>
      <c r="C29" s="106"/>
      <c r="D29" s="206"/>
      <c r="E29" s="106"/>
      <c r="F29" s="207"/>
      <c r="G29" s="68"/>
    </row>
    <row r="30" spans="1:7" ht="15" x14ac:dyDescent="0.35">
      <c r="A30" s="68"/>
      <c r="B30" s="205"/>
      <c r="C30" s="106"/>
      <c r="D30" s="206"/>
      <c r="E30" s="106"/>
      <c r="F30" s="207"/>
      <c r="G30" s="68"/>
    </row>
    <row r="31" spans="1:7" ht="15" x14ac:dyDescent="0.35">
      <c r="A31" s="68"/>
      <c r="B31" s="205"/>
      <c r="C31" s="106"/>
      <c r="D31" s="206"/>
      <c r="E31" s="106"/>
      <c r="F31" s="207"/>
      <c r="G31" s="68"/>
    </row>
    <row r="32" spans="1:7" ht="15" x14ac:dyDescent="0.35">
      <c r="A32" s="68"/>
      <c r="B32" s="205"/>
      <c r="C32" s="106"/>
      <c r="D32" s="206"/>
      <c r="E32" s="106"/>
      <c r="F32" s="207"/>
      <c r="G32" s="68"/>
    </row>
    <row r="33" spans="1:7" ht="15" x14ac:dyDescent="0.35">
      <c r="A33" s="68"/>
      <c r="B33" s="105"/>
      <c r="C33" s="106"/>
      <c r="D33" s="107"/>
      <c r="E33" s="106"/>
      <c r="F33" s="108"/>
      <c r="G33" s="68"/>
    </row>
    <row r="34" spans="1:7" ht="15" x14ac:dyDescent="0.35">
      <c r="A34" s="68"/>
      <c r="B34" s="105"/>
      <c r="C34" s="106"/>
      <c r="D34" s="107"/>
      <c r="E34" s="106"/>
      <c r="F34" s="108"/>
      <c r="G34" s="68"/>
    </row>
    <row r="35" spans="1:7" ht="15" x14ac:dyDescent="0.35">
      <c r="A35" s="68"/>
      <c r="B35" s="105"/>
      <c r="C35" s="106"/>
      <c r="D35" s="107"/>
      <c r="E35" s="106"/>
      <c r="F35" s="108"/>
      <c r="G35" s="68"/>
    </row>
    <row r="36" spans="1:7" ht="15" x14ac:dyDescent="0.35">
      <c r="A36" s="68"/>
      <c r="B36" s="105"/>
      <c r="C36" s="106"/>
      <c r="D36" s="107"/>
      <c r="E36" s="106"/>
      <c r="F36" s="108"/>
      <c r="G36" s="68"/>
    </row>
    <row r="37" spans="1:7" ht="15" x14ac:dyDescent="0.35">
      <c r="A37" s="68"/>
      <c r="B37" s="109"/>
      <c r="C37" s="110"/>
      <c r="D37" s="111"/>
      <c r="E37" s="110"/>
      <c r="F37" s="112"/>
      <c r="G37" s="68"/>
    </row>
    <row r="38" spans="1:7" ht="15" x14ac:dyDescent="0.35">
      <c r="A38" s="68"/>
      <c r="B38" s="68"/>
      <c r="C38" s="68"/>
      <c r="D38" s="68"/>
      <c r="E38" s="68"/>
      <c r="F38" s="68"/>
      <c r="G38" s="68"/>
    </row>
    <row r="39" spans="1:7" ht="15" x14ac:dyDescent="0.35">
      <c r="A39" s="68"/>
      <c r="B39" s="68"/>
      <c r="C39" s="68"/>
      <c r="D39" s="68"/>
      <c r="E39" s="68"/>
      <c r="F39" s="68"/>
      <c r="G39" s="68"/>
    </row>
  </sheetData>
  <mergeCells count="5">
    <mergeCell ref="A1:G1"/>
    <mergeCell ref="A25:G25"/>
    <mergeCell ref="A13:G13"/>
    <mergeCell ref="B2:G2"/>
    <mergeCell ref="B15:G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ADE1-B256-41D1-AF86-7B443474E578}">
  <dimension ref="A1:O34"/>
  <sheetViews>
    <sheetView tabSelected="1" topLeftCell="A14" workbookViewId="0">
      <selection activeCell="K35" sqref="K35"/>
    </sheetView>
  </sheetViews>
  <sheetFormatPr defaultColWidth="9.109375" defaultRowHeight="13.8" x14ac:dyDescent="0.25"/>
  <cols>
    <col min="1" max="1" width="9.109375" style="1"/>
    <col min="2" max="2" width="14.44140625" style="1" bestFit="1" customWidth="1"/>
    <col min="3" max="16384" width="9.109375" style="1"/>
  </cols>
  <sheetData>
    <row r="1" spans="1:15" ht="17.399999999999999" x14ac:dyDescent="0.4">
      <c r="A1" s="254" t="s">
        <v>199</v>
      </c>
      <c r="B1" s="250"/>
      <c r="C1" s="250"/>
      <c r="D1" s="251"/>
      <c r="E1" s="251"/>
      <c r="F1" s="251"/>
      <c r="G1" s="251"/>
      <c r="H1" s="251"/>
      <c r="I1" s="251"/>
      <c r="J1" s="251"/>
    </row>
    <row r="2" spans="1:15" ht="17.399999999999999" x14ac:dyDescent="0.4">
      <c r="A2" s="250"/>
      <c r="B2" s="252"/>
      <c r="C2" s="253"/>
      <c r="D2" s="253"/>
      <c r="E2" s="253"/>
      <c r="F2" s="251"/>
      <c r="G2" s="251"/>
      <c r="H2" s="251"/>
      <c r="I2" s="251"/>
      <c r="J2" s="251"/>
    </row>
    <row r="3" spans="1:15" ht="15" x14ac:dyDescent="0.35">
      <c r="A3" s="68"/>
      <c r="B3" s="68"/>
      <c r="C3" s="68"/>
      <c r="D3" s="68"/>
      <c r="E3" s="68"/>
      <c r="F3" s="68"/>
      <c r="G3" s="68"/>
      <c r="H3" s="68"/>
      <c r="I3" s="68"/>
      <c r="J3" s="68"/>
      <c r="K3" s="68"/>
    </row>
    <row r="4" spans="1:15" ht="15" x14ac:dyDescent="0.35">
      <c r="A4" s="68"/>
      <c r="G4" s="68"/>
      <c r="H4" s="68"/>
      <c r="I4" s="68"/>
      <c r="J4" s="68"/>
      <c r="K4" s="68"/>
    </row>
    <row r="5" spans="1:15" ht="15" x14ac:dyDescent="0.35">
      <c r="A5" s="68"/>
      <c r="B5" s="244" t="s">
        <v>35</v>
      </c>
      <c r="C5" s="244"/>
      <c r="D5" s="244"/>
      <c r="E5" s="244"/>
      <c r="F5" s="244"/>
      <c r="G5" s="68"/>
      <c r="H5" s="68"/>
      <c r="I5" s="68"/>
      <c r="J5" s="68"/>
      <c r="K5" s="68"/>
    </row>
    <row r="6" spans="1:15" ht="28.8" x14ac:dyDescent="0.35">
      <c r="A6" s="68"/>
      <c r="B6" s="217"/>
      <c r="C6" s="218" t="s">
        <v>197</v>
      </c>
      <c r="D6" s="218" t="s">
        <v>84</v>
      </c>
      <c r="E6" s="218" t="s">
        <v>85</v>
      </c>
      <c r="F6" s="218" t="s">
        <v>198</v>
      </c>
      <c r="G6" s="220"/>
      <c r="H6" s="68"/>
      <c r="I6" s="68"/>
      <c r="J6" s="68"/>
      <c r="K6" s="68"/>
      <c r="M6" s="2"/>
      <c r="N6" s="3"/>
      <c r="O6" s="3"/>
    </row>
    <row r="7" spans="1:15" ht="28.8" x14ac:dyDescent="0.35">
      <c r="A7" s="68"/>
      <c r="B7" s="215" t="s">
        <v>183</v>
      </c>
      <c r="C7" s="216">
        <v>196.86</v>
      </c>
      <c r="D7" s="215">
        <v>196.86</v>
      </c>
      <c r="E7" s="216">
        <v>317.39999999999998</v>
      </c>
      <c r="F7" s="215">
        <v>317.39999999999998</v>
      </c>
      <c r="G7"/>
      <c r="H7" s="68"/>
      <c r="I7" s="68"/>
      <c r="J7" s="68"/>
      <c r="K7" s="68"/>
      <c r="M7" s="3"/>
      <c r="N7" s="3"/>
      <c r="O7" s="3"/>
    </row>
    <row r="8" spans="1:15" ht="28.8" x14ac:dyDescent="0.35">
      <c r="A8" s="68"/>
      <c r="B8" s="215" t="s">
        <v>184</v>
      </c>
      <c r="C8" s="216">
        <v>129.59</v>
      </c>
      <c r="D8" s="215">
        <v>129.59</v>
      </c>
      <c r="E8" s="216">
        <v>265.08999999999997</v>
      </c>
      <c r="F8" s="215">
        <v>265.08999999999997</v>
      </c>
      <c r="G8"/>
      <c r="H8" s="68"/>
      <c r="I8" s="68"/>
      <c r="J8" s="68"/>
      <c r="K8" s="68"/>
      <c r="M8" s="3"/>
      <c r="N8" s="3"/>
      <c r="O8" s="3"/>
    </row>
    <row r="9" spans="1:15" ht="28.8" x14ac:dyDescent="0.35">
      <c r="A9" s="68"/>
      <c r="B9" s="215" t="s">
        <v>185</v>
      </c>
      <c r="C9" s="216">
        <v>150.41</v>
      </c>
      <c r="D9" s="215">
        <v>150.41</v>
      </c>
      <c r="E9" s="216">
        <v>259.18</v>
      </c>
      <c r="F9" s="215">
        <v>259.18</v>
      </c>
      <c r="G9"/>
      <c r="H9" s="68"/>
      <c r="I9" s="68"/>
      <c r="J9" s="68"/>
      <c r="K9" s="68"/>
      <c r="M9" s="3"/>
      <c r="N9" s="3"/>
      <c r="O9" s="3"/>
    </row>
    <row r="10" spans="1:15" ht="28.8" x14ac:dyDescent="0.35">
      <c r="A10" s="68"/>
      <c r="B10" s="215" t="s">
        <v>186</v>
      </c>
      <c r="C10" s="216">
        <v>209.36</v>
      </c>
      <c r="D10" s="215">
        <v>209.36</v>
      </c>
      <c r="E10" s="216">
        <v>241.52</v>
      </c>
      <c r="F10" s="215">
        <v>241.52</v>
      </c>
      <c r="G10"/>
      <c r="H10" s="68"/>
      <c r="I10" s="68"/>
      <c r="J10" s="68"/>
      <c r="K10" s="68"/>
      <c r="M10" s="3"/>
      <c r="N10" s="3"/>
      <c r="O10" s="3"/>
    </row>
    <row r="11" spans="1:15" ht="28.8" x14ac:dyDescent="0.3">
      <c r="B11" s="215" t="s">
        <v>187</v>
      </c>
      <c r="C11" s="216">
        <v>215</v>
      </c>
      <c r="D11" s="215">
        <v>215</v>
      </c>
      <c r="E11" s="216">
        <v>400</v>
      </c>
      <c r="F11" s="215">
        <v>400</v>
      </c>
      <c r="G11"/>
      <c r="M11" s="3"/>
      <c r="N11" s="3"/>
      <c r="O11" s="3"/>
    </row>
    <row r="12" spans="1:15" ht="15.6" x14ac:dyDescent="0.3">
      <c r="M12" s="3"/>
      <c r="N12" s="3"/>
      <c r="O12" s="3"/>
    </row>
    <row r="13" spans="1:15" ht="15.6" x14ac:dyDescent="0.3">
      <c r="M13" s="3"/>
      <c r="N13" s="4"/>
      <c r="O13" s="4"/>
    </row>
    <row r="14" spans="1:15" ht="16.2" x14ac:dyDescent="0.35">
      <c r="M14" s="5"/>
      <c r="N14" s="6"/>
      <c r="O14" s="6"/>
    </row>
    <row r="15" spans="1:15" x14ac:dyDescent="0.25">
      <c r="B15" s="244" t="s">
        <v>188</v>
      </c>
      <c r="C15" s="244"/>
      <c r="D15" s="244"/>
      <c r="E15" s="244"/>
      <c r="F15" s="244"/>
    </row>
    <row r="16" spans="1:15" ht="28.8" x14ac:dyDescent="0.25">
      <c r="B16" s="219"/>
      <c r="C16" s="218" t="s">
        <v>197</v>
      </c>
      <c r="D16" s="219" t="s">
        <v>84</v>
      </c>
      <c r="E16" s="219" t="s">
        <v>85</v>
      </c>
      <c r="F16" s="218" t="s">
        <v>198</v>
      </c>
    </row>
    <row r="17" spans="2:8" ht="28.8" x14ac:dyDescent="0.25">
      <c r="B17" s="215" t="s">
        <v>183</v>
      </c>
      <c r="C17" s="216">
        <v>344.79</v>
      </c>
      <c r="D17" s="215">
        <v>344.79</v>
      </c>
      <c r="E17" s="216">
        <v>555.45000000000005</v>
      </c>
      <c r="F17" s="215">
        <v>555.45000000000005</v>
      </c>
    </row>
    <row r="18" spans="2:8" ht="28.8" x14ac:dyDescent="0.25">
      <c r="B18" s="215" t="s">
        <v>184</v>
      </c>
      <c r="C18" s="216">
        <v>335.31</v>
      </c>
      <c r="D18" s="215">
        <v>335.31</v>
      </c>
      <c r="E18" s="216">
        <v>684.48</v>
      </c>
      <c r="F18" s="215">
        <v>684.48</v>
      </c>
    </row>
    <row r="19" spans="2:8" ht="28.8" x14ac:dyDescent="0.25">
      <c r="B19" s="215" t="s">
        <v>185</v>
      </c>
      <c r="C19" s="216">
        <v>349.23</v>
      </c>
      <c r="D19" s="215">
        <v>349.23</v>
      </c>
      <c r="E19" s="216">
        <v>609.41</v>
      </c>
      <c r="F19" s="215">
        <v>609.41</v>
      </c>
    </row>
    <row r="20" spans="2:8" ht="28.8" x14ac:dyDescent="0.25">
      <c r="B20" s="215" t="s">
        <v>186</v>
      </c>
      <c r="C20" s="216">
        <v>404.93</v>
      </c>
      <c r="D20" s="215">
        <v>404.93</v>
      </c>
      <c r="E20" s="216">
        <v>452.25</v>
      </c>
      <c r="F20" s="215">
        <v>452.25</v>
      </c>
    </row>
    <row r="21" spans="2:8" ht="28.8" x14ac:dyDescent="0.25">
      <c r="B21" s="215" t="s">
        <v>187</v>
      </c>
      <c r="C21" s="216">
        <v>392</v>
      </c>
      <c r="D21" s="215">
        <v>392</v>
      </c>
      <c r="E21" s="216">
        <v>675</v>
      </c>
      <c r="F21" s="215">
        <v>675</v>
      </c>
    </row>
    <row r="22" spans="2:8" ht="15" x14ac:dyDescent="0.35">
      <c r="B22" s="68"/>
      <c r="C22" s="68"/>
      <c r="D22" s="68"/>
      <c r="E22" s="68"/>
      <c r="F22" s="68"/>
    </row>
    <row r="27" spans="2:8" ht="14.4" x14ac:dyDescent="0.3">
      <c r="B27" s="255"/>
    </row>
    <row r="28" spans="2:8" ht="14.4" x14ac:dyDescent="0.3">
      <c r="B28" s="256"/>
    </row>
    <row r="29" spans="2:8" ht="14.4" x14ac:dyDescent="0.3">
      <c r="B29" s="255"/>
    </row>
    <row r="30" spans="2:8" ht="14.4" x14ac:dyDescent="0.3">
      <c r="B30" s="256"/>
      <c r="H30" s="257"/>
    </row>
    <row r="31" spans="2:8" ht="14.4" x14ac:dyDescent="0.3">
      <c r="B31" s="255"/>
    </row>
    <row r="32" spans="2:8" ht="14.4" x14ac:dyDescent="0.3">
      <c r="B32" s="256"/>
    </row>
    <row r="33" spans="2:2" ht="14.4" x14ac:dyDescent="0.3">
      <c r="B33" s="255"/>
    </row>
    <row r="34" spans="2:2" ht="14.4" x14ac:dyDescent="0.3">
      <c r="B34" s="256"/>
    </row>
  </sheetData>
  <mergeCells count="2">
    <mergeCell ref="B5:F5"/>
    <mergeCell ref="B15:F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 Page</vt:lpstr>
      <vt:lpstr>Comps Table</vt:lpstr>
      <vt:lpstr>Microsoft DCF Model</vt:lpstr>
      <vt:lpstr>Microsoft 3-Statement Model</vt:lpstr>
      <vt:lpstr>Apple DCF Model</vt:lpstr>
      <vt:lpstr>Apple 3-Statement Model</vt:lpstr>
      <vt:lpstr>Sensitivity Analysis Table</vt:lpstr>
      <vt:lpstr>Valuation Range Chart</vt:lpstr>
      <vt:lpstr>'Cover Page'!Print_Area</vt:lpstr>
    </vt:vector>
  </TitlesOfParts>
  <Company>Goldcorp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Vipond</dc:creator>
  <cp:lastModifiedBy>hilal berhe</cp:lastModifiedBy>
  <dcterms:created xsi:type="dcterms:W3CDTF">2014-03-20T00:13:16Z</dcterms:created>
  <dcterms:modified xsi:type="dcterms:W3CDTF">2026-06-22T18:42:45Z</dcterms:modified>
</cp:coreProperties>
</file>